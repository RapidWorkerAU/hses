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updateLinks="never" defaultThemeVersion="124226"/>
  <mc:AlternateContent xmlns:mc="http://schemas.openxmlformats.org/markup-compatibility/2006">
    <mc:Choice Requires="x15">
      <x15ac:absPath xmlns:x15ac="http://schemas.microsoft.com/office/spreadsheetml/2010/11/ac" url="https://d.docs.live.net/ec47d291ad6ff43a/Desktop/"/>
    </mc:Choice>
  </mc:AlternateContent>
  <xr:revisionPtr revIDLastSave="1132" documentId="8_{B26384D7-FE33-4BEF-BCA7-D51D00769952}" xr6:coauthVersionLast="47" xr6:coauthVersionMax="47" xr10:uidLastSave="{0E76F366-E55F-4DDF-9D67-6F58ADFD65AF}"/>
  <bookViews>
    <workbookView xWindow="43080" yWindow="-120" windowWidth="38640" windowHeight="21120" xr2:uid="{00000000-000D-0000-FFFF-FFFF00000000}"/>
  </bookViews>
  <sheets>
    <sheet name="Assessment Guidance" sheetId="37" r:id="rId1"/>
    <sheet name="PART A - Governance" sheetId="31" r:id="rId2"/>
    <sheet name="Scoring Worksheet" sheetId="39" r:id="rId3"/>
    <sheet name="Intent Statement" sheetId="34" r:id="rId4"/>
    <sheet name="Assessment Prompts" sheetId="35" r:id="rId5"/>
    <sheet name="Scoring Requirements" sheetId="38" r:id="rId6"/>
    <sheet name="Lists" sheetId="40" state="hidden" r:id="rId7"/>
  </sheets>
  <externalReferences>
    <externalReference r:id="rId8"/>
  </externalReferences>
  <definedNames>
    <definedName name="consistency">Lists!$E$2:$E$4</definedName>
    <definedName name="_xlnm.Print_Area" localSheetId="1">'PART A - Governance'!$A$1:$E$14</definedName>
    <definedName name="quality">Lists!$F$2:$F$4</definedName>
    <definedName name="strength">'Scoring Requirements'!$B$40:$B$43</definedName>
    <definedName name="sustainable">Lists!$G$2:$G$4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54" i="39" l="1"/>
  <c r="J54" i="39"/>
  <c r="H54" i="39"/>
  <c r="J53" i="39"/>
  <c r="I53" i="39"/>
  <c r="H53" i="39"/>
  <c r="I52" i="39"/>
  <c r="J52" i="39"/>
  <c r="H52" i="39"/>
  <c r="J51" i="39"/>
  <c r="H51" i="39"/>
  <c r="I51" i="39"/>
  <c r="J50" i="39"/>
  <c r="I50" i="39"/>
  <c r="H50" i="39"/>
  <c r="G14" i="39"/>
  <c r="K14" i="39" s="1"/>
  <c r="L14" i="39" s="1"/>
  <c r="G15" i="39"/>
  <c r="K15" i="39" s="1"/>
  <c r="L15" i="39" s="1"/>
  <c r="G16" i="39"/>
  <c r="K16" i="39" s="1"/>
  <c r="L16" i="39" s="1"/>
  <c r="G17" i="39"/>
  <c r="K17" i="39" s="1"/>
  <c r="L17" i="39" s="1"/>
  <c r="G18" i="39"/>
  <c r="K18" i="39" s="1"/>
  <c r="L18" i="39" s="1"/>
  <c r="G19" i="39"/>
  <c r="K19" i="39" s="1"/>
  <c r="L19" i="39" s="1"/>
  <c r="G20" i="39"/>
  <c r="K20" i="39" s="1"/>
  <c r="L20" i="39" s="1"/>
  <c r="G21" i="39"/>
  <c r="K21" i="39" s="1"/>
  <c r="L21" i="39" s="1"/>
  <c r="G22" i="39"/>
  <c r="K22" i="39" s="1"/>
  <c r="L22" i="39" s="1"/>
  <c r="G23" i="39"/>
  <c r="K23" i="39" s="1"/>
  <c r="L23" i="39" s="1"/>
  <c r="G24" i="39"/>
  <c r="K24" i="39" s="1"/>
  <c r="L24" i="39" s="1"/>
  <c r="G25" i="39"/>
  <c r="K25" i="39" s="1"/>
  <c r="L25" i="39" s="1"/>
  <c r="G26" i="39"/>
  <c r="K26" i="39" s="1"/>
  <c r="L26" i="39" s="1"/>
  <c r="G27" i="39"/>
  <c r="K27" i="39" s="1"/>
  <c r="L27" i="39" s="1"/>
  <c r="G28" i="39"/>
  <c r="K28" i="39" s="1"/>
  <c r="L28" i="39" s="1"/>
  <c r="G29" i="39"/>
  <c r="K29" i="39" s="1"/>
  <c r="L29" i="39" s="1"/>
  <c r="G30" i="39"/>
  <c r="K30" i="39" s="1"/>
  <c r="L30" i="39" s="1"/>
  <c r="G31" i="39"/>
  <c r="K31" i="39" s="1"/>
  <c r="L31" i="39" s="1"/>
  <c r="G32" i="39"/>
  <c r="K32" i="39" s="1"/>
  <c r="L32" i="39" s="1"/>
  <c r="G33" i="39"/>
  <c r="K33" i="39" s="1"/>
  <c r="L33" i="39" s="1"/>
  <c r="G34" i="39"/>
  <c r="K34" i="39" s="1"/>
  <c r="L34" i="39" s="1"/>
  <c r="G35" i="39"/>
  <c r="K35" i="39" s="1"/>
  <c r="L35" i="39" s="1"/>
  <c r="G36" i="39"/>
  <c r="K36" i="39" s="1"/>
  <c r="L36" i="39" s="1"/>
  <c r="G37" i="39"/>
  <c r="K37" i="39" s="1"/>
  <c r="L37" i="39" s="1"/>
  <c r="G38" i="39"/>
  <c r="K38" i="39" s="1"/>
  <c r="L38" i="39" s="1"/>
  <c r="G39" i="39"/>
  <c r="K39" i="39" s="1"/>
  <c r="L39" i="39" s="1"/>
  <c r="G40" i="39"/>
  <c r="K40" i="39" s="1"/>
  <c r="L40" i="39" s="1"/>
  <c r="G41" i="39"/>
  <c r="K41" i="39" s="1"/>
  <c r="L41" i="39" s="1"/>
  <c r="G42" i="39"/>
  <c r="K42" i="39" s="1"/>
  <c r="L42" i="39" s="1"/>
  <c r="G43" i="39"/>
  <c r="K43" i="39" s="1"/>
  <c r="L43" i="39" s="1"/>
  <c r="G44" i="39"/>
  <c r="K44" i="39" s="1"/>
  <c r="L44" i="39" s="1"/>
  <c r="G45" i="39"/>
  <c r="K45" i="39" s="1"/>
  <c r="L45" i="39" s="1"/>
  <c r="G46" i="39"/>
  <c r="K46" i="39" s="1"/>
  <c r="L46" i="39" s="1"/>
  <c r="G47" i="39"/>
  <c r="K47" i="39" s="1"/>
  <c r="L47" i="39" s="1"/>
  <c r="G13" i="39"/>
  <c r="K13" i="39" s="1"/>
  <c r="L13" i="39" s="1"/>
  <c r="G12" i="39"/>
  <c r="K12" i="39" s="1"/>
  <c r="L12" i="39" s="1"/>
  <c r="L51" i="39" l="1"/>
  <c r="L52" i="39"/>
  <c r="L53" i="39"/>
  <c r="L50" i="39"/>
  <c r="L54" i="39" s="1"/>
</calcChain>
</file>

<file path=xl/sharedStrings.xml><?xml version="1.0" encoding="utf-8"?>
<sst xmlns="http://schemas.openxmlformats.org/spreadsheetml/2006/main" count="394" uniqueCount="303">
  <si>
    <t>Category</t>
  </si>
  <si>
    <t>Intent and fundamental criteria</t>
  </si>
  <si>
    <t>Assessment Guideline</t>
  </si>
  <si>
    <t>Scoring Methodology</t>
  </si>
  <si>
    <t>Scoring Structure</t>
  </si>
  <si>
    <t>Maturity level</t>
  </si>
  <si>
    <t>Scoring</t>
  </si>
  <si>
    <r>
      <rPr>
        <b/>
        <sz val="12"/>
        <color rgb="FFFF0000"/>
        <rFont val="Calibri"/>
        <family val="2"/>
        <scheme val="minor"/>
      </rPr>
      <t xml:space="preserve">1      </t>
    </r>
    <r>
      <rPr>
        <b/>
        <sz val="12"/>
        <color theme="1"/>
        <rFont val="Calibri"/>
        <family val="2"/>
        <scheme val="minor"/>
      </rPr>
      <t xml:space="preserve">         </t>
    </r>
    <r>
      <rPr>
        <b/>
        <sz val="12"/>
        <color rgb="FF7030A0"/>
        <rFont val="Calibri"/>
        <family val="2"/>
        <scheme val="minor"/>
      </rPr>
      <t xml:space="preserve">2    </t>
    </r>
    <r>
      <rPr>
        <b/>
        <sz val="12"/>
        <color theme="1"/>
        <rFont val="Calibri"/>
        <family val="2"/>
        <scheme val="minor"/>
      </rPr>
      <t xml:space="preserve">        </t>
    </r>
    <r>
      <rPr>
        <b/>
        <sz val="12"/>
        <color rgb="FF00B050"/>
        <rFont val="Calibri"/>
        <family val="2"/>
        <scheme val="minor"/>
      </rPr>
      <t xml:space="preserve">   3</t>
    </r>
  </si>
  <si>
    <r>
      <rPr>
        <b/>
        <sz val="12"/>
        <color rgb="FFFF0000"/>
        <rFont val="Calibri"/>
        <family val="2"/>
        <scheme val="minor"/>
      </rPr>
      <t xml:space="preserve">4    </t>
    </r>
    <r>
      <rPr>
        <b/>
        <sz val="12"/>
        <color theme="1"/>
        <rFont val="Calibri"/>
        <family val="2"/>
        <scheme val="minor"/>
      </rPr>
      <t xml:space="preserve">           </t>
    </r>
    <r>
      <rPr>
        <b/>
        <sz val="12"/>
        <color rgb="FF7030A0"/>
        <rFont val="Calibri"/>
        <family val="2"/>
        <scheme val="minor"/>
      </rPr>
      <t>5</t>
    </r>
    <r>
      <rPr>
        <b/>
        <sz val="12"/>
        <color theme="1"/>
        <rFont val="Calibri"/>
        <family val="2"/>
        <scheme val="minor"/>
      </rPr>
      <t xml:space="preserve">           </t>
    </r>
    <r>
      <rPr>
        <b/>
        <sz val="12"/>
        <color rgb="FF00B050"/>
        <rFont val="Calibri"/>
        <family val="2"/>
        <scheme val="minor"/>
      </rPr>
      <t xml:space="preserve">    6</t>
    </r>
  </si>
  <si>
    <r>
      <rPr>
        <b/>
        <sz val="12"/>
        <color rgb="FFFF0000"/>
        <rFont val="Calibri"/>
        <family val="2"/>
        <scheme val="minor"/>
      </rPr>
      <t xml:space="preserve">7        </t>
    </r>
    <r>
      <rPr>
        <b/>
        <sz val="12"/>
        <color theme="1"/>
        <rFont val="Calibri"/>
        <family val="2"/>
        <scheme val="minor"/>
      </rPr>
      <t xml:space="preserve">     </t>
    </r>
    <r>
      <rPr>
        <b/>
        <sz val="12"/>
        <color rgb="FF7030A0"/>
        <rFont val="Calibri"/>
        <family val="2"/>
        <scheme val="minor"/>
      </rPr>
      <t xml:space="preserve">  8  </t>
    </r>
    <r>
      <rPr>
        <b/>
        <sz val="12"/>
        <color theme="1"/>
        <rFont val="Calibri"/>
        <family val="2"/>
        <scheme val="minor"/>
      </rPr>
      <t xml:space="preserve">         </t>
    </r>
    <r>
      <rPr>
        <b/>
        <sz val="12"/>
        <color rgb="FF00B050"/>
        <rFont val="Calibri"/>
        <family val="2"/>
        <scheme val="minor"/>
      </rPr>
      <t xml:space="preserve">    9</t>
    </r>
  </si>
  <si>
    <t>Scoring Definition</t>
  </si>
  <si>
    <t>Score *</t>
  </si>
  <si>
    <t>ü</t>
  </si>
  <si>
    <t>X</t>
  </si>
  <si>
    <t xml:space="preserve">Self-Assessment or Baseline </t>
  </si>
  <si>
    <t>Comments / Recommendations</t>
  </si>
  <si>
    <t>Overall site safety maturity</t>
  </si>
  <si>
    <t>Category average</t>
  </si>
  <si>
    <t># criteria incomplete for lowest maturity level</t>
  </si>
  <si>
    <t>LEADERSHIP &amp; ACCOUNTABILITY</t>
  </si>
  <si>
    <t>DECISION RIGHTS &amp; GOVERNANCE STRUCTURE</t>
  </si>
  <si>
    <t>LEGAL &amp; RISK GOVERNANCE</t>
  </si>
  <si>
    <t>ESCALATION, PSYCHOLOGICAL SAFETY &amp; LEARNING INTO GOVERNANCE</t>
  </si>
  <si>
    <t>Intent: Leadership sets the direction for safety, visibly owns risk, and is accountable for system performance and outcomes, ensuring that safety is consistently prioritised in decisions, behaviours, and resource allocation across the organisation.</t>
  </si>
  <si>
    <t>Intent: Clear, consistent, and transparent decision-making structures enable timely, risk-informed decisions for high-risk work, ensuring that authority, escalation, and oversight are unambiguous and operate effectively under both routine and pressured conditions.</t>
  </si>
  <si>
    <t>Intent: Legal duties and risk boundaries are systematically translated into practical controls and decision rules, ensuring that governance is defensible, consistent, and aligned to the organisation’s tolerance for risk.</t>
  </si>
  <si>
    <t>Intent: The organisation actively encourages and protects upward flow of risk information, fosters psychological safety, and ensures that learning from incidents, near misses, and operational experience meaningfully reshapes leadership decisions and system design.</t>
  </si>
  <si>
    <r>
      <t xml:space="preserve">1.1 Leadership Intent and Expectations
</t>
    </r>
    <r>
      <rPr>
        <sz val="13"/>
        <rFont val="Arial"/>
        <family val="2"/>
      </rPr>
      <t xml:space="preserve">Leadership clearly defines what safety means for the organisation and translates that intent into consistent expectations for how work is planned and decided.
</t>
    </r>
    <r>
      <rPr>
        <b/>
        <sz val="13"/>
        <rFont val="Arial"/>
        <family val="2"/>
      </rPr>
      <t>Focus Areas</t>
    </r>
    <r>
      <rPr>
        <sz val="13"/>
        <rFont val="Arial"/>
        <family val="2"/>
      </rPr>
      <t xml:space="preserve">
Clarity and consistency of leadership safety intent
Translation of intent into roles, expectations and decisions
Shared understanding of safety intent across leadership layers
Visible alignment between what leaders say and what they do</t>
    </r>
  </si>
  <si>
    <r>
      <t xml:space="preserve">1.2 Leadership Accountability for Outcomes
</t>
    </r>
    <r>
      <rPr>
        <sz val="13"/>
        <rFont val="Arial"/>
        <family val="2"/>
      </rPr>
      <t>Leadership is explicitly accountable for safety outcomes and the performance of the safety system, not just compliance or incident rates.</t>
    </r>
    <r>
      <rPr>
        <b/>
        <sz val="13"/>
        <rFont val="Arial"/>
        <family val="2"/>
      </rPr>
      <t xml:space="preserve">
Focus Areas
</t>
    </r>
    <r>
      <rPr>
        <sz val="13"/>
        <rFont val="Arial"/>
        <family val="2"/>
      </rPr>
      <t>Formal accountability for safety in leadership performance measures
Ownership of system performance and critical control health
Leadership response to incidents, risk and system failures
Consistency and fairness in how accountability is applied</t>
    </r>
  </si>
  <si>
    <r>
      <t xml:space="preserve">2.1 Decision Rights for High-Risk Work
</t>
    </r>
    <r>
      <rPr>
        <sz val="13"/>
        <rFont val="Arial"/>
        <family val="2"/>
      </rPr>
      <t>Decision rights for high-risk work are clear, consistently applied, and understood across all levels, ensuring timely, risk-informed decisions and effective stop-work authority.</t>
    </r>
    <r>
      <rPr>
        <b/>
        <sz val="13"/>
        <rFont val="Arial"/>
        <family val="2"/>
      </rPr>
      <t xml:space="preserve">
Focus Areas
</t>
    </r>
    <r>
      <rPr>
        <sz val="13"/>
        <rFont val="Arial"/>
        <family val="2"/>
      </rPr>
      <t>Clarity of approval, escalation, and stop-work authority
Consistent application of decision rules in practice
Alignment between documented decision rights and real decisions
Functionality of escalation pathways under pressure</t>
    </r>
  </si>
  <si>
    <r>
      <t xml:space="preserve">2.2 Governance Forums and Structure
</t>
    </r>
    <r>
      <rPr>
        <sz val="13"/>
        <rFont val="Arial"/>
        <family val="2"/>
      </rPr>
      <t>A clear and effective governance structure enables purposeful safety decision-making, oversight, and accountability across the organisation.</t>
    </r>
    <r>
      <rPr>
        <b/>
        <sz val="13"/>
        <rFont val="Arial"/>
        <family val="2"/>
      </rPr>
      <t xml:space="preserve">
Focus Areas
</t>
    </r>
    <r>
      <rPr>
        <sz val="13"/>
        <rFont val="Arial"/>
        <family val="2"/>
      </rPr>
      <t>Clarity of governance structure, roles, and forums
Quality and purposefulness of safety meetings and reviews
Decision-making, action tracking, and follow-through
Flow of safety information between frontline and leadership</t>
    </r>
  </si>
  <si>
    <r>
      <t xml:space="preserve">3.1 Translation of Legal Duties
</t>
    </r>
    <r>
      <rPr>
        <sz val="13"/>
        <rFont val="Arial"/>
        <family val="2"/>
      </rPr>
      <t>Legal duties are systematically translated into practical controls and accountabilities so governance is defensible and operationally meaningful.</t>
    </r>
    <r>
      <rPr>
        <b/>
        <sz val="13"/>
        <rFont val="Arial"/>
        <family val="2"/>
      </rPr>
      <t xml:space="preserve">
Focus Areas
</t>
    </r>
    <r>
      <rPr>
        <sz val="13"/>
        <rFont val="Arial"/>
        <family val="2"/>
      </rPr>
      <t>Currency and relevance of the legal register
Clear mapping of legal duties to controls and roles
Use of legal requirements in risk assessments and procedures
Systematic updates when laws or standards change</t>
    </r>
  </si>
  <si>
    <r>
      <t xml:space="preserve">3.2 Risk Appetite and Decision Boundaries
</t>
    </r>
    <r>
      <rPr>
        <sz val="13"/>
        <rFont val="Arial"/>
        <family val="2"/>
      </rPr>
      <t>Clear and shared risk boundaries guide consistent, defensible decision-making for routine and high-risk work.</t>
    </r>
    <r>
      <rPr>
        <b/>
        <sz val="13"/>
        <rFont val="Arial"/>
        <family val="2"/>
      </rPr>
      <t xml:space="preserve">
Focus Areas
</t>
    </r>
    <r>
      <rPr>
        <sz val="13"/>
        <rFont val="Arial"/>
        <family val="2"/>
      </rPr>
      <t>Existence and clarity of a documented risk appetite
Consistent application of risk boundaries in decisions
Alignment between risk appetite, approvals, and planning
Leadership intervention when risk boundaries are approached</t>
    </r>
  </si>
  <si>
    <r>
      <t xml:space="preserve">4.1 Escalation Pathways and Speak-Up
</t>
    </r>
    <r>
      <rPr>
        <sz val="13"/>
        <rFont val="Arial"/>
        <family val="2"/>
      </rPr>
      <t xml:space="preserve">Clear, trusted, and accessible escalation pathways enable anyone to raise safety concerns without fear and with timely response.
</t>
    </r>
    <r>
      <rPr>
        <b/>
        <sz val="13"/>
        <rFont val="Arial"/>
        <family val="2"/>
      </rPr>
      <t xml:space="preserve">
Focus Areas
</t>
    </r>
    <r>
      <rPr>
        <sz val="13"/>
        <rFont val="Arial"/>
        <family val="2"/>
      </rPr>
      <t>Clarity and accessibility of speak-up and escalation routes
Defined response timeframes and feedback loops
Protection from retaliation when concerns are raised
Evidence that issues raised lead to visible action</t>
    </r>
  </si>
  <si>
    <r>
      <t xml:space="preserve">4.2 Psychological Safety
</t>
    </r>
    <r>
      <rPr>
        <sz val="13"/>
        <rFont val="Arial"/>
        <family val="2"/>
      </rPr>
      <t>Leaders create conditions where people feel safe to surface risk, challenge decisions, and speak openly about problems.</t>
    </r>
    <r>
      <rPr>
        <b/>
        <sz val="13"/>
        <rFont val="Arial"/>
        <family val="2"/>
      </rPr>
      <t xml:space="preserve">
Focus Areas
</t>
    </r>
    <r>
      <rPr>
        <sz val="13"/>
        <rFont val="Arial"/>
        <family val="2"/>
      </rPr>
      <t>Leadership behaviours that invite challenge and bad news
Quality of dialogue in meetings and decision forums
Absence of blame and fear of consequences for speaking up
Evidence that constructive dissent is valued and acted upon</t>
    </r>
  </si>
  <si>
    <r>
      <t xml:space="preserve">4.3 Learning Feeding Back into Governance
</t>
    </r>
    <r>
      <rPr>
        <sz val="13"/>
        <rFont val="Arial"/>
        <family val="2"/>
      </rPr>
      <t xml:space="preserve">Insights from incidents, near misses, and operational experience actively reshape leadership decisions and system design.
</t>
    </r>
    <r>
      <rPr>
        <b/>
        <sz val="13"/>
        <rFont val="Arial"/>
        <family val="2"/>
      </rPr>
      <t xml:space="preserve">
Focus Areas
</t>
    </r>
    <r>
      <rPr>
        <sz val="13"/>
        <rFont val="Arial"/>
        <family val="2"/>
      </rPr>
      <t>Quality and depth of incident investigations
Evidence that learning leads to system or governance changes
Sharing of lessons beyond the immediate site or team
Continuous refinement of decision rules, controls, or structures</t>
    </r>
  </si>
  <si>
    <r>
      <rPr>
        <b/>
        <sz val="13"/>
        <rFont val="Arial"/>
        <family val="2"/>
      </rPr>
      <t xml:space="preserve">What it looks like
</t>
    </r>
    <r>
      <rPr>
        <sz val="13"/>
        <rFont val="Arial"/>
        <family val="2"/>
      </rPr>
      <t xml:space="preserve">Safety intent exists, but it is expressed as broad values or slogans rather than decision rules.
Expectations for leaders and supervisors are implied rather than clearly stated.
Different leaders describe safety priorities in different ways.
Safety requirements are heavily document-based and feel separate from operational planning.
</t>
    </r>
    <r>
      <rPr>
        <b/>
        <sz val="13"/>
        <rFont val="Arial"/>
        <family val="2"/>
      </rPr>
      <t xml:space="preserve">
What it sounds like
</t>
    </r>
    <r>
      <rPr>
        <sz val="13"/>
        <rFont val="Arial"/>
        <family val="2"/>
      </rPr>
      <t xml:space="preserve">“Safety is important” without being able to define what that means in decisions.
“Just follow the procedure” used as the default response to risk issues.
“That’s HSE’s job” said directly or indirectly.
</t>
    </r>
    <r>
      <rPr>
        <b/>
        <sz val="13"/>
        <rFont val="Arial"/>
        <family val="2"/>
      </rPr>
      <t xml:space="preserve">
What it feels like
</t>
    </r>
    <r>
      <rPr>
        <sz val="13"/>
        <rFont val="Arial"/>
        <family val="2"/>
      </rPr>
      <t xml:space="preserve">Teams are unsure what leadership expects when risk and production conflict.
Safety messaging changes depending on the leader, the site, or the week.
</t>
    </r>
    <r>
      <rPr>
        <b/>
        <sz val="13"/>
        <rFont val="Arial"/>
        <family val="2"/>
      </rPr>
      <t xml:space="preserve">
Typical activities and routines
</t>
    </r>
    <r>
      <rPr>
        <sz val="13"/>
        <rFont val="Arial"/>
        <family val="2"/>
      </rPr>
      <t>Safety is discussed, but mostly after something goes wrong or when audits are due.
Plans exist, but safety considerations often appear late in planning or only in approval steps.</t>
    </r>
  </si>
  <si>
    <r>
      <rPr>
        <b/>
        <sz val="13"/>
        <rFont val="Arial"/>
        <family val="2"/>
      </rPr>
      <t xml:space="preserve">What it looks like
</t>
    </r>
    <r>
      <rPr>
        <sz val="13"/>
        <rFont val="Arial"/>
        <family val="2"/>
      </rPr>
      <t xml:space="preserve">Leadership intent is clearer and more stable, with a shared language that most leaders use consistently.
Expectations are written into leader responsibilities and planning routines.
Leaders increasingly reference safety intent during planning, approvals, and resourcing discussions.
Safety expectations are clearer for supervisors, especially around stop-work and escalation.
</t>
    </r>
    <r>
      <rPr>
        <b/>
        <sz val="13"/>
        <rFont val="Arial"/>
        <family val="2"/>
      </rPr>
      <t xml:space="preserve">
What it sounds like
</t>
    </r>
    <r>
      <rPr>
        <sz val="13"/>
        <rFont val="Arial"/>
        <family val="2"/>
      </rPr>
      <t xml:space="preserve">“Here is how we decide when risk changes”
“What is the control that prevents serious harm here”
“If we cannot verify the control, we do not proceed”
</t>
    </r>
    <r>
      <rPr>
        <b/>
        <sz val="13"/>
        <rFont val="Arial"/>
        <family val="2"/>
      </rPr>
      <t xml:space="preserve">
What it feels like
</t>
    </r>
    <r>
      <rPr>
        <sz val="13"/>
        <rFont val="Arial"/>
        <family val="2"/>
      </rPr>
      <t xml:space="preserve">People can predict how leaders will respond to high-risk situations.
Expectations are clearer, even if execution still varies between areas.
</t>
    </r>
    <r>
      <rPr>
        <b/>
        <sz val="13"/>
        <rFont val="Arial"/>
        <family val="2"/>
      </rPr>
      <t xml:space="preserve">
Typical activities and routines
</t>
    </r>
    <r>
      <rPr>
        <sz val="13"/>
        <rFont val="Arial"/>
        <family val="2"/>
      </rPr>
      <t>Leaders routinely participate in risk conversations, not only compliance checks.
Planning includes safety considerations earlier, particularly for high-risk work.
Leaders test understanding through questions, not just reminders.</t>
    </r>
  </si>
  <si>
    <r>
      <rPr>
        <b/>
        <sz val="13"/>
        <rFont val="Arial"/>
        <family val="2"/>
      </rPr>
      <t>What it looks like</t>
    </r>
    <r>
      <rPr>
        <sz val="13"/>
        <rFont val="Arial"/>
        <family val="2"/>
      </rPr>
      <t xml:space="preserve">
Leadership intent is operational and decision-based, with clear non-negotiables and clear boundaries.
Expectations are consistently applied across teams, sites, and contractors.
Safety intent is embedded into planning, work design, and operational decision forums.
Leaders model the expected behaviours under pressure, not only in calm conditions.
</t>
    </r>
    <r>
      <rPr>
        <b/>
        <sz val="13"/>
        <rFont val="Arial"/>
        <family val="2"/>
      </rPr>
      <t>What it sounds like</t>
    </r>
    <r>
      <rPr>
        <sz val="13"/>
        <rFont val="Arial"/>
        <family val="2"/>
      </rPr>
      <t xml:space="preserve">
“We are not resourcing this unless we can control the risk”
“Stop-work is expected when controls degrade”
“Show me the evidence the critical controls are working today”
</t>
    </r>
    <r>
      <rPr>
        <b/>
        <sz val="13"/>
        <rFont val="Arial"/>
        <family val="2"/>
      </rPr>
      <t>What it feels like</t>
    </r>
    <r>
      <rPr>
        <sz val="13"/>
        <rFont val="Arial"/>
        <family val="2"/>
      </rPr>
      <t xml:space="preserve">
Safety is experienced as part of how work is done, not as an overlay.
Teams feel clear about what good looks like and what will be supported.
</t>
    </r>
    <r>
      <rPr>
        <b/>
        <sz val="13"/>
        <rFont val="Arial"/>
        <family val="2"/>
      </rPr>
      <t>Typical activities and routines</t>
    </r>
    <r>
      <rPr>
        <sz val="13"/>
        <rFont val="Arial"/>
        <family val="2"/>
      </rPr>
      <t xml:space="preserve">
Leaders proactively use risk information to shape priorities and trade-offs.
Leaders coach expectations into practice through observation, feedback, and follow-through.
The same intent is visible from executive meetings through to pre-starts and contractor interfaces.</t>
    </r>
  </si>
  <si>
    <r>
      <rPr>
        <b/>
        <sz val="13"/>
        <rFont val="Arial"/>
        <family val="2"/>
      </rPr>
      <t>What it looks like</t>
    </r>
    <r>
      <rPr>
        <sz val="13"/>
        <rFont val="Arial"/>
        <family val="2"/>
      </rPr>
      <t xml:space="preserve">
Accountability exists mainly through lag indicators and compliance checks.
Safety performance is measured, but ownership is unclear when system weaknesses are found.
Actions are assigned, but follow-through depends on individual leaders.
When incidents occur, focus leans toward individual performance rather than system performance.
</t>
    </r>
    <r>
      <rPr>
        <b/>
        <sz val="13"/>
        <rFont val="Arial"/>
        <family val="2"/>
      </rPr>
      <t>What it sounds like</t>
    </r>
    <r>
      <rPr>
        <sz val="13"/>
        <rFont val="Arial"/>
        <family val="2"/>
      </rPr>
      <t xml:space="preserve">
“We need to get our TRIFR down” as the primary measure of success.
“We have trained them, so it’s on them now”
“We just need people to follow the rules”
</t>
    </r>
    <r>
      <rPr>
        <b/>
        <sz val="13"/>
        <rFont val="Arial"/>
        <family val="2"/>
      </rPr>
      <t>What it feels like</t>
    </r>
    <r>
      <rPr>
        <sz val="13"/>
        <rFont val="Arial"/>
        <family val="2"/>
      </rPr>
      <t xml:space="preserve">
Accountability is inconsistent and can feel reactive or event-driven.
People see safety as something leaders talk about, but not always something leaders own.
</t>
    </r>
    <r>
      <rPr>
        <b/>
        <sz val="13"/>
        <rFont val="Arial"/>
        <family val="2"/>
      </rPr>
      <t>Typical activities and routines</t>
    </r>
    <r>
      <rPr>
        <sz val="13"/>
        <rFont val="Arial"/>
        <family val="2"/>
      </rPr>
      <t xml:space="preserve">
Incident reviews occur, but governance changes are rare.
Corrective actions are created, but learning is not consistently embedded across teams.</t>
    </r>
  </si>
  <si>
    <r>
      <rPr>
        <b/>
        <sz val="13"/>
        <rFont val="Arial"/>
        <family val="2"/>
      </rPr>
      <t>What it looks like</t>
    </r>
    <r>
      <rPr>
        <sz val="13"/>
        <rFont val="Arial"/>
        <family val="2"/>
      </rPr>
      <t xml:space="preserve">
Leadership accountability expands beyond injury rates to include system performance elements.
Leaders have defined accountabilities for risk, controls, assurance activities, and actions.
Performance discussions include leading indicators and the health of controls for serious risks.
Incident response increasingly looks at system causes and leadership decisions.
</t>
    </r>
    <r>
      <rPr>
        <b/>
        <sz val="13"/>
        <rFont val="Arial"/>
        <family val="2"/>
      </rPr>
      <t>What it sounds like</t>
    </r>
    <r>
      <rPr>
        <sz val="13"/>
        <rFont val="Arial"/>
        <family val="2"/>
      </rPr>
      <t xml:space="preserve">
“What failed in the system that allowed this”
“Which control should have prevented this, and was it verified”
“What are we changing at leadership level”
What it feels like
Accountability feels more structured and fair, though not yet consistent everywhere.
Leaders are increasingly expected to own improvement, not delegate it.
Typical activities and routines
Leaders regularly review action closure, recurring issues, and critical control performance.
Leaders are more likely to resource fixes and remove barriers raised by the workforce.</t>
    </r>
  </si>
  <si>
    <r>
      <rPr>
        <b/>
        <sz val="13"/>
        <rFont val="Arial"/>
        <family val="2"/>
      </rPr>
      <t>What it looks like</t>
    </r>
    <r>
      <rPr>
        <sz val="13"/>
        <rFont val="Arial"/>
        <family val="2"/>
      </rPr>
      <t xml:space="preserve">
Leadership accountability is clearly linked to system performance, risk control, and learning outcomes.
Leaders are accountable for the integrity of critical controls and the effectiveness of governance routines.
Accountability is consistent across seniority levels and business units.
Following serious events, leadership decisions, governance structures, and resourcing are adjusted.
</t>
    </r>
    <r>
      <rPr>
        <b/>
        <sz val="13"/>
        <rFont val="Arial"/>
        <family val="2"/>
      </rPr>
      <t>What it sounds like</t>
    </r>
    <r>
      <rPr>
        <sz val="13"/>
        <rFont val="Arial"/>
        <family val="2"/>
      </rPr>
      <t xml:space="preserve">
“We own this risk and we own the controls”
“We will not accept unknown control health”
“We will change the way we govern this work, not just update a procedure”
</t>
    </r>
    <r>
      <rPr>
        <b/>
        <sz val="13"/>
        <rFont val="Arial"/>
        <family val="2"/>
      </rPr>
      <t>What it feels like</t>
    </r>
    <r>
      <rPr>
        <sz val="13"/>
        <rFont val="Arial"/>
        <family val="2"/>
      </rPr>
      <t xml:space="preserve">
Accountability is predictable, risk-based, and focused on improvement rather than blame.
People trust that raising issues will lead to meaningful action, not punishment or silence.
</t>
    </r>
    <r>
      <rPr>
        <b/>
        <sz val="13"/>
        <rFont val="Arial"/>
        <family val="2"/>
      </rPr>
      <t>Typical activities and routines</t>
    </r>
    <r>
      <rPr>
        <sz val="13"/>
        <rFont val="Arial"/>
        <family val="2"/>
      </rPr>
      <t xml:space="preserve">
Leaders use assurance results, data trends, and learning to make visible changes in priorities and operations.
Leaders actively verify control health and systematically address recurring weaknesses.
Contractors are held to the same accountability expectations through clear oversight and governance.</t>
    </r>
  </si>
  <si>
    <r>
      <rPr>
        <b/>
        <sz val="13"/>
        <rFont val="Arial"/>
        <family val="2"/>
      </rPr>
      <t>What it looks like</t>
    </r>
    <r>
      <rPr>
        <sz val="13"/>
        <rFont val="Arial"/>
        <family val="2"/>
      </rPr>
      <t xml:space="preserve">
Decision rules for high-risk work exist in some documents, but they are scattered, incomplete, or not well understood.
Different leaders give different answers about who can approve, escalate, or stop work.
Stop-work authority exists in policy but is rarely exercised in practice.
Approvals are often driven by urgency, relationships, or hierarchy rather than clear criteria.
</t>
    </r>
    <r>
      <rPr>
        <b/>
        <sz val="13"/>
        <rFont val="Arial"/>
        <family val="2"/>
      </rPr>
      <t>What it sounds like</t>
    </r>
    <r>
      <rPr>
        <sz val="13"/>
        <rFont val="Arial"/>
        <family val="2"/>
      </rPr>
      <t xml:space="preserve">
“Check with your supervisor.”
“Just get sign-off and keep moving.”
“We can sort the paperwork later.”
“It depends who you ask.”
</t>
    </r>
    <r>
      <rPr>
        <b/>
        <sz val="13"/>
        <rFont val="Arial"/>
        <family val="2"/>
      </rPr>
      <t>What it feels like</t>
    </r>
    <r>
      <rPr>
        <sz val="13"/>
        <rFont val="Arial"/>
        <family val="2"/>
      </rPr>
      <t xml:space="preserve">
People are uncertain about their authority under pressure.
Workers hesitate to stop work unless explicitly told to.
Decisions can feel personalised rather than system-based.
</t>
    </r>
    <r>
      <rPr>
        <b/>
        <sz val="13"/>
        <rFont val="Arial"/>
        <family val="2"/>
      </rPr>
      <t>Typical activities and routines</t>
    </r>
    <r>
      <rPr>
        <sz val="13"/>
        <rFont val="Arial"/>
        <family val="2"/>
      </rPr>
      <t xml:space="preserve">
High-risk permits or approvals exist but are treated as administrative steps.
Escalation happens inconsistently and often only after something goes wrong.
Decision making is reactive rather than planned.</t>
    </r>
  </si>
  <si>
    <r>
      <rPr>
        <b/>
        <sz val="13"/>
        <rFont val="Arial"/>
        <family val="2"/>
      </rPr>
      <t>What it looks like</t>
    </r>
    <r>
      <rPr>
        <sz val="13"/>
        <rFont val="Arial"/>
        <family val="2"/>
      </rPr>
      <t xml:space="preserve">
A formal Decision Rights Matrix or equivalent exists and is reasonably well understood.
Roles for approval, escalation, and stop-work are clearer, particularly for high-risk tasks.
Most leaders follow the agreed decision pathways, especially for major risks.
There is growing recognition that escalation is legitimate rather than a failure.
</t>
    </r>
    <r>
      <rPr>
        <b/>
        <sz val="13"/>
        <rFont val="Arial"/>
        <family val="2"/>
      </rPr>
      <t>What it sounds like</t>
    </r>
    <r>
      <rPr>
        <sz val="13"/>
        <rFont val="Arial"/>
        <family val="2"/>
      </rPr>
      <t xml:space="preserve">
“Who is the approver for this level of risk?”
“Let’s escalate before we proceed.”
“We need to verify the controls before we move forward.”
“That decision sits with [role], not with us.”
</t>
    </r>
    <r>
      <rPr>
        <b/>
        <sz val="13"/>
        <rFont val="Arial"/>
        <family val="2"/>
      </rPr>
      <t>What it feels like</t>
    </r>
    <r>
      <rPr>
        <sz val="13"/>
        <rFont val="Arial"/>
        <family val="2"/>
      </rPr>
      <t xml:space="preserve">
People are more confident about who decides what.
Stopping work is becoming more acceptable, though still uneven.
Decision making feels more structured, even if not yet flawless.
</t>
    </r>
    <r>
      <rPr>
        <b/>
        <sz val="13"/>
        <rFont val="Arial"/>
        <family val="2"/>
      </rPr>
      <t>Typical activities and routines</t>
    </r>
    <r>
      <rPr>
        <sz val="13"/>
        <rFont val="Arial"/>
        <family val="2"/>
      </rPr>
      <t xml:space="preserve">
High-risk approvals generally follow a defined pathway.
Leaders increasingly reference decision rules in meetings and planning.
Escalation occurs more often, though sometimes still late or under pressure.</t>
    </r>
  </si>
  <si>
    <r>
      <rPr>
        <b/>
        <sz val="13"/>
        <color rgb="FF000000"/>
        <rFont val="Arial"/>
        <family val="2"/>
      </rPr>
      <t>What it looks like</t>
    </r>
    <r>
      <rPr>
        <sz val="13"/>
        <color rgb="FF000000"/>
        <rFont val="Arial"/>
        <family val="2"/>
      </rPr>
      <t xml:space="preserve">
Decision rights are clearly defined, widely understood, and consistently applied across sites and contractors.
Stop-work authority is genuinely embedded and used as a normal part of operations when controls degrade.
Escalation pathways function effectively even under schedule or commercial pressure.
Decision rights are stress-tested and refined based on real experience.
</t>
    </r>
    <r>
      <rPr>
        <b/>
        <sz val="13"/>
        <color rgb="FF000000"/>
        <rFont val="Arial"/>
        <family val="2"/>
      </rPr>
      <t>What it sounds like</t>
    </r>
    <r>
      <rPr>
        <sz val="13"/>
        <color rgb="FF000000"/>
        <rFont val="Arial"/>
        <family val="2"/>
      </rPr>
      <t xml:space="preserve">
“This exceeds our threshold, so we escalate.”
“We will pause until the right approver reviews this.”
“If we can’t verify the control, we don’t proceed.”
“Let’s review whether our decision rules still make sense.”
</t>
    </r>
    <r>
      <rPr>
        <b/>
        <sz val="13"/>
        <color rgb="FF000000"/>
        <rFont val="Arial"/>
        <family val="2"/>
      </rPr>
      <t>What it feels like</t>
    </r>
    <r>
      <rPr>
        <sz val="13"/>
        <color rgb="FF000000"/>
        <rFont val="Arial"/>
        <family val="2"/>
      </rPr>
      <t xml:space="preserve">
People trust the system and know exactly what to do when risk changes.
Stopping work is seen as responsible, not disruptive.
Decisions feel predictable, fair, and risk-based rather than political.
</t>
    </r>
    <r>
      <rPr>
        <b/>
        <sz val="13"/>
        <color rgb="FF000000"/>
        <rFont val="Arial"/>
        <family val="2"/>
      </rPr>
      <t>Typical activities and routines</t>
    </r>
    <r>
      <rPr>
        <sz val="13"/>
        <color rgb="FF000000"/>
        <rFont val="Arial"/>
        <family val="2"/>
      </rPr>
      <t xml:space="preserve">
Leaders actively coach decision rights in real situations.
Escalation happens early, not at crisis point.
Decision rules are periodically reviewed and improved based on lessons learned.</t>
    </r>
  </si>
  <si>
    <r>
      <rPr>
        <b/>
        <sz val="13"/>
        <rFont val="Arial"/>
        <family val="2"/>
      </rPr>
      <t>What it looks like</t>
    </r>
    <r>
      <rPr>
        <sz val="13"/>
        <rFont val="Arial"/>
        <family val="2"/>
      </rPr>
      <t xml:space="preserve">
Safety meetings and forums exist but are inconsistent in purpose or quality.
Agendas tend to focus on incidents, compliance, or reporting rather than real risk.
Actions are recorded, but closure is uneven and follow-up is weak.
Frontline information rarely meaningfully shapes leadership discussions.
</t>
    </r>
    <r>
      <rPr>
        <b/>
        <sz val="13"/>
        <rFont val="Arial"/>
        <family val="2"/>
      </rPr>
      <t>What it sounds like</t>
    </r>
    <r>
      <rPr>
        <sz val="13"/>
        <rFont val="Arial"/>
        <family val="2"/>
      </rPr>
      <t xml:space="preserve">
“We need to get through the agenda.”
“Let’s just note that for next time.”
“We’ll take that offline.”
“Same issues again this month.”
</t>
    </r>
    <r>
      <rPr>
        <b/>
        <sz val="13"/>
        <rFont val="Arial"/>
        <family val="2"/>
      </rPr>
      <t>What it feels like</t>
    </r>
    <r>
      <rPr>
        <sz val="13"/>
        <rFont val="Arial"/>
        <family val="2"/>
      </rPr>
      <t xml:space="preserve">
Meetings feel routine rather than valuable.
Workers are unsure whether raising issues will lead to change.
Governance feels like a reporting exercise rather than decision-making.
</t>
    </r>
    <r>
      <rPr>
        <b/>
        <sz val="13"/>
        <rFont val="Arial"/>
        <family val="2"/>
      </rPr>
      <t>Typical activities and routines</t>
    </r>
    <r>
      <rPr>
        <sz val="13"/>
        <rFont val="Arial"/>
        <family val="2"/>
      </rPr>
      <t xml:space="preserve">
Regular meetings occur but vary widely between sites or teams.
Safety is discussed, but rarely changes priorities or resourcing.
Information tends to flow upward slowly or not at all.</t>
    </r>
  </si>
  <si>
    <r>
      <rPr>
        <b/>
        <sz val="13"/>
        <rFont val="Arial"/>
        <family val="2"/>
      </rPr>
      <t>What it looks like</t>
    </r>
    <r>
      <rPr>
        <sz val="13"/>
        <rFont val="Arial"/>
        <family val="2"/>
      </rPr>
      <t xml:space="preserve">
Governance structure is clearer, with defined forums, roles, and cadence.
Safety meetings increasingly focus on high-risk activities, controls, and trends.
Actions are more consistently tracked and closed.
There is growing visibility of frontline issues at leadership level.
</t>
    </r>
    <r>
      <rPr>
        <b/>
        <sz val="13"/>
        <rFont val="Arial"/>
        <family val="2"/>
      </rPr>
      <t>What it sounds like</t>
    </r>
    <r>
      <rPr>
        <sz val="13"/>
        <rFont val="Arial"/>
        <family val="2"/>
      </rPr>
      <t xml:space="preserve">
“What are our top risks this month?”
“Which actions are still open, and why?”
“What is this telling us about our system?”
“We need to hear from the site on this.”
</t>
    </r>
    <r>
      <rPr>
        <b/>
        <sz val="13"/>
        <rFont val="Arial"/>
        <family val="2"/>
      </rPr>
      <t>What it feels like</t>
    </r>
    <r>
      <rPr>
        <sz val="13"/>
        <rFont val="Arial"/>
        <family val="2"/>
      </rPr>
      <t xml:space="preserve">
Meetings feel more purposeful and less like a formality.
Leaders appear more engaged with real safety issues.
Workers begin to see that their concerns can influence decisions.
</t>
    </r>
    <r>
      <rPr>
        <b/>
        <sz val="13"/>
        <rFont val="Arial"/>
        <family val="2"/>
      </rPr>
      <t>Typical activities and routines</t>
    </r>
    <r>
      <rPr>
        <sz val="13"/>
        <rFont val="Arial"/>
        <family val="2"/>
      </rPr>
      <t xml:space="preserve">
Standing agendas include risk, controls, and learning rather than only incidents.
Leadership forums review trends and recurring issues, not just one-off events.
Action tracking becomes more visible and disciplined.</t>
    </r>
  </si>
  <si>
    <r>
      <rPr>
        <b/>
        <sz val="13"/>
        <color theme="1"/>
        <rFont val="Arial"/>
        <family val="2"/>
      </rPr>
      <t>What it looks like</t>
    </r>
    <r>
      <rPr>
        <sz val="13"/>
        <color theme="1"/>
        <rFont val="Arial"/>
        <family val="2"/>
      </rPr>
      <t xml:space="preserve">
Governance structure is clearly defined, understood, and consistently applied across the organisation.
Safety forums actively shape strategy, priorities, and resourcing.
Decisions are transparent, well documented, and clearly linked to risk information.
Information flows smoothly between frontline, supervisors, and executives in both directions.
</t>
    </r>
    <r>
      <rPr>
        <b/>
        <sz val="13"/>
        <color theme="1"/>
        <rFont val="Arial"/>
        <family val="2"/>
      </rPr>
      <t>What it sounds like</t>
    </r>
    <r>
      <rPr>
        <sz val="13"/>
        <color theme="1"/>
        <rFont val="Arial"/>
        <family val="2"/>
      </rPr>
      <t xml:space="preserve">
“Based on this trend, we need to change our approach.”
“We will allocate resources to address this systemic issue.”
“What are we hearing from the field that we need to act on?”
“Let’s close the loop and communicate the outcome.”
</t>
    </r>
    <r>
      <rPr>
        <b/>
        <sz val="13"/>
        <color theme="1"/>
        <rFont val="Arial"/>
        <family val="2"/>
      </rPr>
      <t>What it feels like</t>
    </r>
    <r>
      <rPr>
        <sz val="13"/>
        <color theme="1"/>
        <rFont val="Arial"/>
        <family val="2"/>
      </rPr>
      <t xml:space="preserve">
Governance feels alive rather than bureaucratic.
People trust that raising issues will lead to meaningful action.
Safety decision-making feels integrated with how the business runs.
</t>
    </r>
    <r>
      <rPr>
        <b/>
        <sz val="13"/>
        <color theme="1"/>
        <rFont val="Arial"/>
        <family val="2"/>
      </rPr>
      <t>Typical activities and routines</t>
    </r>
    <r>
      <rPr>
        <sz val="13"/>
        <color theme="1"/>
        <rFont val="Arial"/>
        <family val="2"/>
      </rPr>
      <t xml:space="preserve">
Leaders routinely use governance forums to make real risk-based decisions.
Frontline insights directly influence leadership priorities.
Governance processes are reviewed and refined based on effectiveness, not just compliance.</t>
    </r>
  </si>
  <si>
    <r>
      <rPr>
        <b/>
        <sz val="13"/>
        <rFont val="Arial"/>
        <family val="2"/>
      </rPr>
      <t>What it looks like</t>
    </r>
    <r>
      <rPr>
        <sz val="13"/>
        <rFont val="Arial"/>
        <family val="2"/>
      </rPr>
      <t xml:space="preserve">
A legal register exists, but it is treated as a compliance artefact rather than an operational tool.
Legal duties are listed, but not clearly connected to real controls, procedures, or accountable roles.
Risk assessments and procedures reference legislation inconsistently, if at all.
Updates to legal requirements tend to be reactive, often triggered by audits or incidents.
</t>
    </r>
    <r>
      <rPr>
        <b/>
        <sz val="13"/>
        <rFont val="Arial"/>
        <family val="2"/>
      </rPr>
      <t>What it sounds like</t>
    </r>
    <r>
      <rPr>
        <sz val="13"/>
        <rFont val="Arial"/>
        <family val="2"/>
      </rPr>
      <t xml:space="preserve">
“We have a legal register somewhere.”
“That’s covered in the procedure.”
“HSE will look after the legal stuff.”
“We’ll update it when we get audited.”
</t>
    </r>
    <r>
      <rPr>
        <b/>
        <sz val="13"/>
        <rFont val="Arial"/>
        <family val="2"/>
      </rPr>
      <t>What it feels like</t>
    </r>
    <r>
      <rPr>
        <sz val="13"/>
        <rFont val="Arial"/>
        <family val="2"/>
      </rPr>
      <t xml:space="preserve">
Legal compliance feels separate from how work is actually done.
Teams experience legal requirements as paperwork rather than as risk controls.
Leaders see legal compliance as HSE’s responsibility, not a shared governance duty.
</t>
    </r>
    <r>
      <rPr>
        <b/>
        <sz val="13"/>
        <rFont val="Arial"/>
        <family val="2"/>
      </rPr>
      <t>Typical activities and routines</t>
    </r>
    <r>
      <rPr>
        <sz val="13"/>
        <rFont val="Arial"/>
        <family val="2"/>
      </rPr>
      <t xml:space="preserve">
The legal register is reviewed irregularly or only when required.
Procedures exist, but their connection to legal duties is not obvious to users.
Risk assessments are often generic and not clearly grounded in legal obligations.</t>
    </r>
  </si>
  <si>
    <r>
      <rPr>
        <b/>
        <sz val="13"/>
        <rFont val="Arial"/>
        <family val="2"/>
      </rPr>
      <t>What it looks like</t>
    </r>
    <r>
      <rPr>
        <sz val="13"/>
        <rFont val="Arial"/>
        <family val="2"/>
      </rPr>
      <t xml:space="preserve">
The legal register is current and more clearly structured, with visible links to key controls.
Legal duties are increasingly mapped to specific procedures and accountable roles.
Risk assessments more regularly reference relevant legal requirements, especially for high-risk work.
Changes in law or standards trigger updates to some procedures or controls, though not always systematically.
</t>
    </r>
    <r>
      <rPr>
        <b/>
        <sz val="13"/>
        <rFont val="Arial"/>
        <family val="2"/>
      </rPr>
      <t>What it sounds like</t>
    </r>
    <r>
      <rPr>
        <sz val="13"/>
        <rFont val="Arial"/>
        <family val="2"/>
      </rPr>
      <t xml:space="preserve">
“Which legal duty relates to this control?”
“We need to update that procedure because the standard changed.”
“Who owns compliance for this requirement?”
“Let’s check if our controls still meet the regulation.”
</t>
    </r>
    <r>
      <rPr>
        <b/>
        <sz val="13"/>
        <rFont val="Arial"/>
        <family val="2"/>
      </rPr>
      <t>What it feels like</t>
    </r>
    <r>
      <rPr>
        <sz val="13"/>
        <rFont val="Arial"/>
        <family val="2"/>
      </rPr>
      <t xml:space="preserve">
Legal requirements begin to feel more relevant to operational decision-making.
Leaders are more aware that legal duties shape risk controls, not just paperwork.
Compliance feels more structured, though still uneven across the business.
</t>
    </r>
    <r>
      <rPr>
        <b/>
        <sz val="13"/>
        <rFont val="Arial"/>
        <family val="2"/>
      </rPr>
      <t>Typical activities and routines</t>
    </r>
    <r>
      <rPr>
        <sz val="13"/>
        <rFont val="Arial"/>
        <family val="2"/>
      </rPr>
      <t xml:space="preserve">
Legal register reviews are scheduled and involve relevant functions, not only HSE.
Some procedures explicitly reference applicable legal duties.
High-risk work planning more consistently considers legal requirements.</t>
    </r>
  </si>
  <si>
    <r>
      <rPr>
        <b/>
        <sz val="13"/>
        <color rgb="FF000000"/>
        <rFont val="Arial"/>
        <family val="2"/>
      </rPr>
      <t>What it looks like</t>
    </r>
    <r>
      <rPr>
        <sz val="13"/>
        <color rgb="FF000000"/>
        <rFont val="Arial"/>
        <family val="2"/>
      </rPr>
      <t xml:space="preserve">
The legal register is a live governance tool that clearly maps duties to critical controls, procedures, and accountable roles.
Legal compliance actively informs risk priorities, control design, and decision-making.
Changes in legislation or standards automatically trigger systematic reviews of controls, procedures, and training.
Legal translation is consistent across sites, projects, and contractors.
</t>
    </r>
    <r>
      <rPr>
        <b/>
        <sz val="13"/>
        <color rgb="FF000000"/>
        <rFont val="Arial"/>
        <family val="2"/>
      </rPr>
      <t>What it sounds like</t>
    </r>
    <r>
      <rPr>
        <sz val="13"/>
        <color rgb="FF000000"/>
        <rFont val="Arial"/>
        <family val="2"/>
      </rPr>
      <t xml:space="preserve">
“This control exists because of this specific legal duty.”
“Before we change this process, we need to confirm legal implications.”
“Our governance needs to evolve with the new standard.”
“Show me how this meets our legal obligations in practice.”
</t>
    </r>
    <r>
      <rPr>
        <b/>
        <sz val="13"/>
        <color rgb="FF000000"/>
        <rFont val="Arial"/>
        <family val="2"/>
      </rPr>
      <t>What it feels like</t>
    </r>
    <r>
      <rPr>
        <sz val="13"/>
        <color rgb="FF000000"/>
        <rFont val="Arial"/>
        <family val="2"/>
      </rPr>
      <t xml:space="preserve">
Legal duties are experienced as part of how safe work is designed, not as external pressure.
Teams understand why controls exist, not just how to follow them.
Leaders treat legal compliance as a core governance responsibility, not a box-ticking exercise.
</t>
    </r>
    <r>
      <rPr>
        <b/>
        <sz val="13"/>
        <color rgb="FF000000"/>
        <rFont val="Arial"/>
        <family val="2"/>
      </rPr>
      <t>Typical activities and routines</t>
    </r>
    <r>
      <rPr>
        <sz val="13"/>
        <color rgb="FF000000"/>
        <rFont val="Arial"/>
        <family val="2"/>
      </rPr>
      <t xml:space="preserve">
Legal changes trigger structured reviews of risk assessments, controls, and training.
Legal mapping is visible in procedures, permits, and critical control documentation.
Assurance activities routinely test whether legal duties are being met in practice, not just on paper.</t>
    </r>
  </si>
  <si>
    <r>
      <rPr>
        <b/>
        <sz val="13"/>
        <rFont val="Arial"/>
        <family val="2"/>
      </rPr>
      <t>What it looks like</t>
    </r>
    <r>
      <rPr>
        <sz val="13"/>
        <rFont val="Arial"/>
        <family val="2"/>
      </rPr>
      <t xml:space="preserve">
Risk appetite is informal, implicit, or described in vague terms.
Leaders often make decisions based on experience, urgency, or commercial pressure rather than clear boundaries.
Similar risks may be treated differently depending on who is involved.
Risk acceptance is rarely documented in a structured or transparent way.
</t>
    </r>
    <r>
      <rPr>
        <b/>
        <sz val="13"/>
        <rFont val="Arial"/>
        <family val="2"/>
      </rPr>
      <t>What it sounds like</t>
    </r>
    <r>
      <rPr>
        <sz val="13"/>
        <rFont val="Arial"/>
        <family val="2"/>
      </rPr>
      <t xml:space="preserve">
“We just have to get the job done.”
“We’ve always done it this way.”
“It depends on the situation.”
“We’ll manage it as we go.”
</t>
    </r>
    <r>
      <rPr>
        <b/>
        <sz val="13"/>
        <rFont val="Arial"/>
        <family val="2"/>
      </rPr>
      <t>What it feels like</t>
    </r>
    <r>
      <rPr>
        <sz val="13"/>
        <rFont val="Arial"/>
        <family val="2"/>
      </rPr>
      <t xml:space="preserve">
Risk tolerance feels inconsistent and unpredictable.
Workers are unsure where the organisation’s true boundaries lie.
Decisions can feel personality-driven rather than principle-driven.
</t>
    </r>
    <r>
      <rPr>
        <b/>
        <sz val="13"/>
        <rFont val="Arial"/>
        <family val="2"/>
      </rPr>
      <t>Typical activities and routines</t>
    </r>
    <r>
      <rPr>
        <sz val="13"/>
        <rFont val="Arial"/>
        <family val="2"/>
      </rPr>
      <t xml:space="preserve">
Risk assessments are completed, but thresholds for acceptance are unclear.
Approvals are often negotiated rather than based on defined criteria.
There is little visible link between risk decisions and any formal risk appetite.</t>
    </r>
  </si>
  <si>
    <r>
      <rPr>
        <b/>
        <sz val="13"/>
        <color rgb="FF000000"/>
        <rFont val="Arial"/>
        <family val="2"/>
      </rPr>
      <t>What it looks like</t>
    </r>
    <r>
      <rPr>
        <sz val="13"/>
        <color rgb="FF000000"/>
        <rFont val="Arial"/>
        <family val="2"/>
      </rPr>
      <t xml:space="preserve">
A documented risk appetite exists, though it may still be high-level.
Leaders increasingly reference risk boundaries in planning and approvals.
There is more consistency in how similar risks are treated, particularly for high-risk work.
Risk acceptance is more often documented, but rationale may still vary.
</t>
    </r>
    <r>
      <rPr>
        <b/>
        <sz val="13"/>
        <color rgb="FF000000"/>
        <rFont val="Arial"/>
        <family val="2"/>
      </rPr>
      <t>What it sounds like</t>
    </r>
    <r>
      <rPr>
        <sz val="13"/>
        <color rgb="FF000000"/>
        <rFont val="Arial"/>
        <family val="2"/>
      </rPr>
      <t xml:space="preserve">
“Does this fall within our risk appetite?”
“We need to justify why we’re accepting this risk.”
“This is above our threshold, so we need escalation.”
“Let’s check if this aligns with our risk boundaries.”
</t>
    </r>
    <r>
      <rPr>
        <b/>
        <sz val="13"/>
        <color rgb="FF000000"/>
        <rFont val="Arial"/>
        <family val="2"/>
      </rPr>
      <t>What it feels like</t>
    </r>
    <r>
      <rPr>
        <sz val="13"/>
        <color rgb="FF000000"/>
        <rFont val="Arial"/>
        <family val="2"/>
      </rPr>
      <t xml:space="preserve">
Decision-making feels more structured and less arbitrary.
Teams have a clearer sense of what risks are unacceptable.
Leaders are more proactive in questioning risky situations.
</t>
    </r>
    <r>
      <rPr>
        <b/>
        <sz val="13"/>
        <color rgb="FF000000"/>
        <rFont val="Arial"/>
        <family val="2"/>
      </rPr>
      <t>Typical activities and routines</t>
    </r>
    <r>
      <rPr>
        <sz val="13"/>
        <color rgb="FF000000"/>
        <rFont val="Arial"/>
        <family val="2"/>
      </rPr>
      <t xml:space="preserve">
Risk appetite is referenced in key governance forums and approvals.
High-risk work planning more consistently considers defined thresholds.
Leaders increasingly intervene when risks approach boundaries.</t>
    </r>
  </si>
  <si>
    <r>
      <rPr>
        <b/>
        <sz val="13"/>
        <rFont val="Arial"/>
        <family val="2"/>
      </rPr>
      <t>What it looks like</t>
    </r>
    <r>
      <rPr>
        <sz val="13"/>
        <rFont val="Arial"/>
        <family val="2"/>
      </rPr>
      <t xml:space="preserve">
Risk appetite is clearly defined, operationalised, and embedded in decision-making across the organisation.
Approvals, planning, and resource allocation consistently reflect agreed risk boundaries.
Leaders proactively intervene when risks approach or exceed thresholds.
The organisation can clearly and confidently justify high-risk decisions to regulators, clients, or stakeholders.
</t>
    </r>
    <r>
      <rPr>
        <b/>
        <sz val="13"/>
        <rFont val="Arial"/>
        <family val="2"/>
      </rPr>
      <t>What it sounds like</t>
    </r>
    <r>
      <rPr>
        <sz val="13"/>
        <rFont val="Arial"/>
        <family val="2"/>
      </rPr>
      <t xml:space="preserve">
“This exceeds our risk appetite, so we will not proceed.”
“We need to redesign the work to bring this within our boundaries.”
“Our risk appetite guides how we prioritise and resource this.”
“Here is why this decision is defensible.”
</t>
    </r>
    <r>
      <rPr>
        <b/>
        <sz val="13"/>
        <rFont val="Arial"/>
        <family val="2"/>
      </rPr>
      <t>What it feels like</t>
    </r>
    <r>
      <rPr>
        <sz val="13"/>
        <rFont val="Arial"/>
        <family val="2"/>
      </rPr>
      <t xml:space="preserve">
Risk decisions feel principled, consistent, and transparent.
Workers trust that the organisation will not knowingly accept unacceptable risk.
Leaders are visibly committed to staying within defined boundaries, even under pressure.
</t>
    </r>
    <r>
      <rPr>
        <b/>
        <sz val="13"/>
        <rFont val="Arial"/>
        <family val="2"/>
      </rPr>
      <t xml:space="preserve">Typical activities and routines
</t>
    </r>
    <r>
      <rPr>
        <sz val="13"/>
        <rFont val="Arial"/>
        <family val="2"/>
      </rPr>
      <t>Risk appetite is integrated into procedures, permits, and decision rights.
Leaders routinely discuss risk boundaries in planning and governance forums.
When boundaries are challenged, work is paused, redesigned, or resourced differently rather than pushed through.</t>
    </r>
  </si>
  <si>
    <r>
      <rPr>
        <b/>
        <sz val="13"/>
        <rFont val="Arial"/>
        <family val="2"/>
      </rPr>
      <t>What it looks like</t>
    </r>
    <r>
      <rPr>
        <sz val="13"/>
        <rFont val="Arial"/>
        <family val="2"/>
      </rPr>
      <t xml:space="preserve">
A formal speak-up or escalation process exists on paper, but awareness and use are patchy.
Different teams rely on different informal routes to raise concerns.
Timeframes for response are unclear or inconsistently applied.
Issues are sometimes logged but outcomes are not always visible to those who raised them.
</t>
    </r>
    <r>
      <rPr>
        <b/>
        <sz val="13"/>
        <rFont val="Arial"/>
        <family val="2"/>
      </rPr>
      <t>What it sounds like</t>
    </r>
    <r>
      <rPr>
        <sz val="13"/>
        <rFont val="Arial"/>
        <family val="2"/>
      </rPr>
      <t xml:space="preserve">
“Just tell your supervisor.”
“We’ll look into it.”
“That’s probably for HSE to handle.”
“We don’t want to make a big deal out of it.”
</t>
    </r>
    <r>
      <rPr>
        <b/>
        <sz val="13"/>
        <rFont val="Arial"/>
        <family val="2"/>
      </rPr>
      <t>What it feels like</t>
    </r>
    <r>
      <rPr>
        <sz val="13"/>
        <rFont val="Arial"/>
        <family val="2"/>
      </rPr>
      <t xml:space="preserve">
People are unsure whether raising concerns will lead to anything meaningful.
Speaking up can feel risky or dependent on who your leader is.
There is a sense that escalation is tolerated rather than encouraged.
</t>
    </r>
    <r>
      <rPr>
        <b/>
        <sz val="13"/>
        <rFont val="Arial"/>
        <family val="2"/>
      </rPr>
      <t>Typical activities and routines</t>
    </r>
    <r>
      <rPr>
        <sz val="13"/>
        <rFont val="Arial"/>
        <family val="2"/>
      </rPr>
      <t xml:space="preserve">
Concerns are raised inconsistently and often only when risk is obvious.
Follow-up communication to reporters is sporadic.
Escalation tends to happen after problems escalate rather than early.</t>
    </r>
  </si>
  <si>
    <r>
      <rPr>
        <b/>
        <sz val="13"/>
        <rFont val="Arial"/>
        <family val="2"/>
      </rPr>
      <t>What it looks like</t>
    </r>
    <r>
      <rPr>
        <sz val="13"/>
        <rFont val="Arial"/>
        <family val="2"/>
      </rPr>
      <t xml:space="preserve">
Clear escalation routes are defined and generally understood across most teams.
Response timeframes exist and are more consistently applied.
There is visible action following some escalations, particularly for high-risk issues.
Leaders increasingly treat escalation as legitimate rather than problematic.
</t>
    </r>
    <r>
      <rPr>
        <b/>
        <sz val="13"/>
        <rFont val="Arial"/>
        <family val="2"/>
      </rPr>
      <t>What it sounds like</t>
    </r>
    <r>
      <rPr>
        <sz val="13"/>
        <rFont val="Arial"/>
        <family val="2"/>
      </rPr>
      <t xml:space="preserve">
“If you’re unsure, escalate it.”
“Let’s raise this before it gets worse.”
“We’ll close the loop with you once we’ve reviewed it.”
“Thanks for bringing that forward.”
</t>
    </r>
    <r>
      <rPr>
        <b/>
        <sz val="13"/>
        <rFont val="Arial"/>
        <family val="2"/>
      </rPr>
      <t>What it feels like</t>
    </r>
    <r>
      <rPr>
        <sz val="13"/>
        <rFont val="Arial"/>
        <family val="2"/>
      </rPr>
      <t xml:space="preserve">
People are more confident that raising concerns will lead to action.
Speaking up is becoming more normal, though still uneven across areas.
There is growing trust in formal escalation pathways.
</t>
    </r>
    <r>
      <rPr>
        <b/>
        <sz val="13"/>
        <rFont val="Arial"/>
        <family val="2"/>
      </rPr>
      <t>Typical activities and routines</t>
    </r>
    <r>
      <rPr>
        <sz val="13"/>
        <rFont val="Arial"/>
        <family val="2"/>
      </rPr>
      <t xml:space="preserve">
Issues are escalated earlier, particularly for high-risk work.
Leaders provide more frequent feedback on actions taken.
Formal channels (hotlines, reporting systems, or forums) are used alongside face-to-face escalation.</t>
    </r>
  </si>
  <si>
    <r>
      <rPr>
        <b/>
        <sz val="13"/>
        <color rgb="FF000000"/>
        <rFont val="Arial"/>
        <family val="2"/>
      </rPr>
      <t>What it looks like</t>
    </r>
    <r>
      <rPr>
        <sz val="13"/>
        <color rgb="FF000000"/>
        <rFont val="Arial"/>
        <family val="2"/>
      </rPr>
      <t xml:space="preserve">
Escalation pathways are clear, widely understood, and consistently used across employees and contractors.
Defined response timeframes are met as a norm, not an exception.
People who raise concerns consistently receive timely feedback and see visible outcomes.
Retaliation is actively prevented and addressed if it occurs.
</t>
    </r>
    <r>
      <rPr>
        <b/>
        <sz val="13"/>
        <color rgb="FF000000"/>
        <rFont val="Arial"/>
        <family val="2"/>
      </rPr>
      <t>What it sounds like</t>
    </r>
    <r>
      <rPr>
        <sz val="13"/>
        <color rgb="FF000000"/>
        <rFont val="Arial"/>
        <family val="2"/>
      </rPr>
      <t xml:space="preserve">
“We want to hear about this early.”
“Thank you for raising that — here’s what we’re doing.”
“If you’re uncomfortable, use the formal channel.”
“We will pause until this is resolved.”
</t>
    </r>
    <r>
      <rPr>
        <b/>
        <sz val="13"/>
        <color rgb="FF000000"/>
        <rFont val="Arial"/>
        <family val="2"/>
      </rPr>
      <t>What it feels like</t>
    </r>
    <r>
      <rPr>
        <sz val="13"/>
        <color rgb="FF000000"/>
        <rFont val="Arial"/>
        <family val="2"/>
      </rPr>
      <t xml:space="preserve">
Speaking up feels safe, expected, and valued.
Escalation is seen as a sign of a strong system, not a failure.
People trust that concerns will be taken seriously regardless of seniority.
</t>
    </r>
    <r>
      <rPr>
        <b/>
        <sz val="13"/>
        <color rgb="FF000000"/>
        <rFont val="Arial"/>
        <family val="2"/>
      </rPr>
      <t>Typical activities and routines</t>
    </r>
    <r>
      <rPr>
        <sz val="13"/>
        <color rgb="FF000000"/>
        <rFont val="Arial"/>
        <family val="2"/>
      </rPr>
      <t xml:space="preserve">
Leaders actively invite escalation and check for concerns in the field.
Feedback loops are systematic and visible.
Patterns in escalations are reviewed at governance forums to prevent recurrence.</t>
    </r>
  </si>
  <si>
    <r>
      <rPr>
        <b/>
        <sz val="13"/>
        <rFont val="Arial"/>
        <family val="2"/>
      </rPr>
      <t>What it looks like</t>
    </r>
    <r>
      <rPr>
        <sz val="13"/>
        <rFont val="Arial"/>
        <family val="2"/>
      </rPr>
      <t xml:space="preserve">
Overt fear is uncommon, but people are cautious about challenging decisions.
Meetings are polite but often avoid difficult or uncomfortable topics.
Dissent tends to be indirect or raised privately rather than openly.
Blame still surfaces after incidents, even if unintentionally.
</t>
    </r>
    <r>
      <rPr>
        <b/>
        <sz val="13"/>
        <rFont val="Arial"/>
        <family val="2"/>
      </rPr>
      <t>What it sounds like</t>
    </r>
    <r>
      <rPr>
        <sz val="13"/>
        <rFont val="Arial"/>
        <family val="2"/>
      </rPr>
      <t xml:space="preserve">
“Let’s not rock the boat.”
“We’ll take that offline.”
“We should be careful how we phrase this.”
Silence when tough questions are asked.
</t>
    </r>
    <r>
      <rPr>
        <b/>
        <sz val="13"/>
        <rFont val="Arial"/>
        <family val="2"/>
      </rPr>
      <t>What it feels like</t>
    </r>
    <r>
      <rPr>
        <sz val="13"/>
        <rFont val="Arial"/>
        <family val="2"/>
      </rPr>
      <t xml:space="preserve">
People are comfortable raising minor issues but hesitant to surface serious concerns.
There is an unspoken sense that speaking up could have consequences.
Safety conversations feel somewhat controlled rather than open.
</t>
    </r>
    <r>
      <rPr>
        <b/>
        <sz val="13"/>
        <rFont val="Arial"/>
        <family val="2"/>
      </rPr>
      <t>Typical activities and routines</t>
    </r>
    <r>
      <rPr>
        <sz val="13"/>
        <rFont val="Arial"/>
        <family val="2"/>
      </rPr>
      <t xml:space="preserve">
Leaders ask for input, but mainly from the same confident voices.
Meetings focus more on reporting than real discussion of risk.
Challenging topics are often deferred rather than explored.</t>
    </r>
  </si>
  <si>
    <r>
      <rPr>
        <b/>
        <sz val="13"/>
        <rFont val="Arial"/>
        <family val="2"/>
      </rPr>
      <t>What it looks like</t>
    </r>
    <r>
      <rPr>
        <sz val="13"/>
        <rFont val="Arial"/>
        <family val="2"/>
      </rPr>
      <t xml:space="preserve">
Leaders more actively invite challenge and bad news in meetings.
Constructive dissent is increasingly visible and tolerated.
People are more willing to speak up about risk, especially when prompted.
Blame is reducing, though not yet eliminated.
</t>
    </r>
    <r>
      <rPr>
        <b/>
        <sz val="13"/>
        <rFont val="Arial"/>
        <family val="2"/>
      </rPr>
      <t>What it sounds like</t>
    </r>
    <r>
      <rPr>
        <sz val="13"/>
        <rFont val="Arial"/>
        <family val="2"/>
      </rPr>
      <t xml:space="preserve">
“What are we missing here?”
“I’d like to hear a different perspective.”
“Let’s talk openly about what could go wrong.”
“We’re not here to point fingers.”
</t>
    </r>
    <r>
      <rPr>
        <b/>
        <sz val="13"/>
        <rFont val="Arial"/>
        <family val="2"/>
      </rPr>
      <t>What it feels like</t>
    </r>
    <r>
      <rPr>
        <sz val="13"/>
        <rFont val="Arial"/>
        <family val="2"/>
      </rPr>
      <t xml:space="preserve">
People are more confident that they can speak up without negative consequences.
Discussions feel more genuine, though still inconsistent across leaders.
There is growing trust that concerns will be heard.
</t>
    </r>
    <r>
      <rPr>
        <b/>
        <sz val="13"/>
        <rFont val="Arial"/>
        <family val="2"/>
      </rPr>
      <t>Typical activities and routines</t>
    </r>
    <r>
      <rPr>
        <sz val="13"/>
        <rFont val="Arial"/>
        <family val="2"/>
      </rPr>
      <t xml:space="preserve">
Leaders consciously create space for discussion in meetings.
Workers increasingly raise risks earlier rather than waiting.
Leaders model vulnerability by acknowledging uncertainty or mistakes.</t>
    </r>
  </si>
  <si>
    <r>
      <rPr>
        <b/>
        <sz val="13"/>
        <color rgb="FF000000"/>
        <rFont val="Arial"/>
        <family val="2"/>
      </rPr>
      <t>What it looks like</t>
    </r>
    <r>
      <rPr>
        <sz val="13"/>
        <color rgb="FF000000"/>
        <rFont val="Arial"/>
        <family val="2"/>
      </rPr>
      <t xml:space="preserve">
Healthy debate and constructive challenge are routine across all levels.
Leaders actively seek out dissenting views, especially on high-risk decisions.
People feel safe raising uncomfortable truths, even about leadership decisions.
Blame is consistently replaced with system thinking.
</t>
    </r>
    <r>
      <rPr>
        <b/>
        <sz val="13"/>
        <color rgb="FF000000"/>
        <rFont val="Arial"/>
        <family val="2"/>
      </rPr>
      <t>What it sounds like</t>
    </r>
    <r>
      <rPr>
        <sz val="13"/>
        <color rgb="FF000000"/>
        <rFont val="Arial"/>
        <family val="2"/>
      </rPr>
      <t xml:space="preserve">
“Who disagrees, and why?”
“What risks are we not seeing?”
“Thank you for challenging that.”
“Let’s focus on how the system failed, not who.”
</t>
    </r>
    <r>
      <rPr>
        <b/>
        <sz val="13"/>
        <color rgb="FF000000"/>
        <rFont val="Arial"/>
        <family val="2"/>
      </rPr>
      <t>What it feels like</t>
    </r>
    <r>
      <rPr>
        <sz val="13"/>
        <color rgb="FF000000"/>
        <rFont val="Arial"/>
        <family val="2"/>
      </rPr>
      <t xml:space="preserve">
Psychological safety is deeply embedded, not leader-dependent.
Speaking up feels normal, expected, and valued.
People trust that honesty will lead to improvement, not punishment.
</t>
    </r>
    <r>
      <rPr>
        <b/>
        <sz val="13"/>
        <color rgb="FF000000"/>
        <rFont val="Arial"/>
        <family val="2"/>
      </rPr>
      <t>Typical activities and routines</t>
    </r>
    <r>
      <rPr>
        <sz val="13"/>
        <color rgb="FF000000"/>
        <rFont val="Arial"/>
        <family val="2"/>
      </rPr>
      <t xml:space="preserve">
Leaders publicly acknowledge and reward people who surface risk early.
Difficult conversations occur openly and constructively.
Teams routinely reflect on how they handle dissent and improve their dialogue.</t>
    </r>
  </si>
  <si>
    <r>
      <rPr>
        <b/>
        <sz val="13"/>
        <rFont val="Arial"/>
        <family val="2"/>
      </rPr>
      <t>What it looks like</t>
    </r>
    <r>
      <rPr>
        <sz val="13"/>
        <rFont val="Arial"/>
        <family val="2"/>
      </rPr>
      <t xml:space="preserve">
Serious incidents are investigated, but learning often remains local.
Corrective actions tend to focus on immediate fixes rather than systemic issues.
Governance structures or decision rules rarely change as a result of incidents.
Lessons learned are inconsistently shared across sites or teams.
</t>
    </r>
    <r>
      <rPr>
        <b/>
        <sz val="13"/>
        <rFont val="Arial"/>
        <family val="2"/>
      </rPr>
      <t>What it sounds like</t>
    </r>
    <r>
      <rPr>
        <sz val="13"/>
        <rFont val="Arial"/>
        <family val="2"/>
      </rPr>
      <t xml:space="preserve">
“We need to close out these actions.”
“Let’s update the procedure.”
“This was a one-off.”
“We’ll remind people to be careful.”
</t>
    </r>
    <r>
      <rPr>
        <b/>
        <sz val="13"/>
        <rFont val="Arial"/>
        <family val="2"/>
      </rPr>
      <t>What it feels like</t>
    </r>
    <r>
      <rPr>
        <sz val="13"/>
        <rFont val="Arial"/>
        <family val="2"/>
      </rPr>
      <t xml:space="preserve">
Learning feels reactive rather than proactive.
Teams may repeat similar issues in different areas.
Investigations can feel like compliance exercises rather than opportunities to improve.
</t>
    </r>
    <r>
      <rPr>
        <b/>
        <sz val="13"/>
        <rFont val="Arial"/>
        <family val="2"/>
      </rPr>
      <t>Typical activities and routines</t>
    </r>
    <r>
      <rPr>
        <sz val="13"/>
        <rFont val="Arial"/>
        <family val="2"/>
      </rPr>
      <t xml:space="preserve">
Investigations focus heavily on proximate causes.
Actions are tracked but not always evaluated for effectiveness.
Knowledge sharing is ad hoc and depends on individuals.</t>
    </r>
  </si>
  <si>
    <r>
      <rPr>
        <b/>
        <sz val="13"/>
        <rFont val="Arial"/>
        <family val="2"/>
      </rPr>
      <t>What it looks like</t>
    </r>
    <r>
      <rPr>
        <sz val="13"/>
        <rFont val="Arial"/>
        <family val="2"/>
      </rPr>
      <t xml:space="preserve">
Investigations increasingly identify systemic contributors, not just immediate causes.
Learning more regularly leads to updates in procedures, controls, or training.
Lessons learned are shared beyond the immediate site or team.
Some leadership-level changes occur following significant events.
</t>
    </r>
    <r>
      <rPr>
        <b/>
        <sz val="13"/>
        <rFont val="Arial"/>
        <family val="2"/>
      </rPr>
      <t>What it sounds like</t>
    </r>
    <r>
      <rPr>
        <sz val="13"/>
        <rFont val="Arial"/>
        <family val="2"/>
      </rPr>
      <t xml:space="preserve">
“What does this tell us about our system?”
“We need to change how we manage this risk.”
“Let’s share this with other sites.”
“What can we do differently next time?”
</t>
    </r>
    <r>
      <rPr>
        <b/>
        <sz val="13"/>
        <rFont val="Arial"/>
        <family val="2"/>
      </rPr>
      <t>What it feels like</t>
    </r>
    <r>
      <rPr>
        <sz val="13"/>
        <rFont val="Arial"/>
        <family val="2"/>
      </rPr>
      <t xml:space="preserve">
There is growing recognition that incidents reveal system weaknesses.
Learning is becoming more purposeful, though still uneven.
People see some tangible improvements after events.
</t>
    </r>
    <r>
      <rPr>
        <b/>
        <sz val="13"/>
        <rFont val="Arial"/>
        <family val="2"/>
      </rPr>
      <t>Typical activities and routines</t>
    </r>
    <r>
      <rPr>
        <sz val="13"/>
        <rFont val="Arial"/>
        <family val="2"/>
      </rPr>
      <t xml:space="preserve">
Cross-site learning forums or bulletins are used more regularly.
Leaders are more involved in reviewing investigation findings.
Controls or decision rules are occasionally revised based on learning.</t>
    </r>
  </si>
  <si>
    <r>
      <rPr>
        <b/>
        <sz val="13"/>
        <color rgb="FF000000"/>
        <rFont val="Arial"/>
        <family val="2"/>
      </rPr>
      <t>What it looks like</t>
    </r>
    <r>
      <rPr>
        <sz val="13"/>
        <color rgb="FF000000"/>
        <rFont val="Arial"/>
        <family val="2"/>
      </rPr>
      <t xml:space="preserve">
Investigations consistently examine leadership decisions, governance structures, and system design.
Learning routinely drives changes to governance, decision rules, or critical controls.
Lessons are systematically shared, embedded, and verified across the organisation.
The system visibly evolves over time based on real operational experience.
</t>
    </r>
    <r>
      <rPr>
        <b/>
        <sz val="13"/>
        <color rgb="FF000000"/>
        <rFont val="Arial"/>
        <family val="2"/>
      </rPr>
      <t>What it sounds like</t>
    </r>
    <r>
      <rPr>
        <sz val="13"/>
        <color rgb="FF000000"/>
        <rFont val="Arial"/>
        <family val="2"/>
      </rPr>
      <t xml:space="preserve">
“What do we need to change in how we govern this work?”
“This event shows our decision rules need refinement.”
“Let’s update our risk boundaries based on this learning.”
“How will we verify that this change actually reduces risk?”
</t>
    </r>
    <r>
      <rPr>
        <b/>
        <sz val="13"/>
        <color rgb="FF000000"/>
        <rFont val="Arial"/>
        <family val="2"/>
      </rPr>
      <t>What it feels like</t>
    </r>
    <r>
      <rPr>
        <sz val="13"/>
        <color rgb="FF000000"/>
        <rFont val="Arial"/>
        <family val="2"/>
      </rPr>
      <t xml:space="preserve">
Learning feels continuous, not event-driven.
People trust that incidents lead to meaningful system improvement.
The organisation feels more resilient over time, not just reactive.
</t>
    </r>
    <r>
      <rPr>
        <b/>
        <sz val="13"/>
        <color rgb="FF000000"/>
        <rFont val="Arial"/>
        <family val="2"/>
      </rPr>
      <t>Typical activities and routines</t>
    </r>
    <r>
      <rPr>
        <sz val="13"/>
        <color rgb="FF000000"/>
        <rFont val="Arial"/>
        <family val="2"/>
      </rPr>
      <t xml:space="preserve">
Leadership reviews regularly translate investigation insights into governance changes.
Decision rights, controls, and risk appetite are refined based on evidence.
Assurance activities test whether lessons have been effectively embedded.</t>
    </r>
  </si>
  <si>
    <r>
      <t xml:space="preserve">Intent: </t>
    </r>
    <r>
      <rPr>
        <sz val="13"/>
        <rFont val="Arial"/>
        <family val="2"/>
      </rPr>
      <t xml:space="preserve">Leadership sets the direction for safety, visibly owns risk, and is accountable for system performance and outcomes, ensuring that safety is consistently prioritised in decisions, behaviours, and resource allocation across the organisation.
</t>
    </r>
    <r>
      <rPr>
        <b/>
        <i/>
        <sz val="13"/>
        <rFont val="Arial"/>
        <family val="2"/>
      </rPr>
      <t xml:space="preserve">
</t>
    </r>
    <r>
      <rPr>
        <b/>
        <sz val="13"/>
        <rFont val="Arial"/>
        <family val="2"/>
      </rPr>
      <t xml:space="preserve">
1.1 Leadership Intent and Expectations
</t>
    </r>
    <r>
      <rPr>
        <sz val="13"/>
        <rFont val="Arial"/>
        <family val="2"/>
      </rPr>
      <t xml:space="preserve">Clarity and consistency of leadership safety intent
Translation of intent into roles, expectations and decisions
Shared understanding of safety intent across leadership layers
Visible alignment between what leaders say and what they do
</t>
    </r>
    <r>
      <rPr>
        <b/>
        <sz val="13"/>
        <rFont val="Arial"/>
        <family val="2"/>
      </rPr>
      <t xml:space="preserve">1.2 Leadership Accountability for Outcomes
</t>
    </r>
    <r>
      <rPr>
        <sz val="13"/>
        <rFont val="Arial"/>
        <family val="2"/>
      </rPr>
      <t>Formal accountability for safety in leadership performance measures
Ownership of system performance and critical control health
Leadership response to incidents, risk and system failures
Consistency and fairness in how accountability is applied</t>
    </r>
  </si>
  <si>
    <r>
      <t xml:space="preserve">Intent: </t>
    </r>
    <r>
      <rPr>
        <sz val="13"/>
        <rFont val="Arial"/>
        <family val="2"/>
      </rPr>
      <t xml:space="preserve">Clear, consistent, and transparent decision-making structures enable timely, risk-informed decisions for high-risk work, ensuring that authority, escalation, and oversight are unambiguous and operate effectively under both routine and pressured conditions.
</t>
    </r>
    <r>
      <rPr>
        <b/>
        <sz val="13"/>
        <rFont val="Arial"/>
        <family val="2"/>
      </rPr>
      <t xml:space="preserve">2.1 Decision Rights for High-Risk Work
</t>
    </r>
    <r>
      <rPr>
        <sz val="13"/>
        <rFont val="Arial"/>
        <family val="2"/>
      </rPr>
      <t xml:space="preserve">Clarity of approval, escalation, and stop-work authority
Consistent application of decision rules in practice
Alignment between documented decision rights and real decisions
Functionality of escalation pathways under pressure
</t>
    </r>
    <r>
      <rPr>
        <b/>
        <sz val="13"/>
        <rFont val="Arial"/>
        <family val="2"/>
      </rPr>
      <t xml:space="preserve">2.2 Governance Forums and Structure
</t>
    </r>
    <r>
      <rPr>
        <sz val="13"/>
        <rFont val="Arial"/>
        <family val="2"/>
      </rPr>
      <t>Clarity of governance structure, roles, and forums
Quality and purposefulness of safety meetings and reviews
Decision-making, action tracking, and follow-through
Flow of safety information between frontline and leadership</t>
    </r>
  </si>
  <si>
    <r>
      <t xml:space="preserve">Intent: </t>
    </r>
    <r>
      <rPr>
        <sz val="13"/>
        <rFont val="Arial"/>
        <family val="2"/>
      </rPr>
      <t xml:space="preserve">Legal duties and risk boundaries are systematically translated into practical controls and decision rules, ensuring that governance is defensible, consistent, and aligned to the organisation’s tolerance for risk.
</t>
    </r>
    <r>
      <rPr>
        <b/>
        <sz val="13"/>
        <rFont val="Arial"/>
        <family val="2"/>
      </rPr>
      <t xml:space="preserve">3.1 Translation of Legal Duties
</t>
    </r>
    <r>
      <rPr>
        <sz val="13"/>
        <rFont val="Arial"/>
        <family val="2"/>
      </rPr>
      <t xml:space="preserve">Currency and relevance of the legal register
Clear mapping of legal duties to controls and roles
Use of legal requirements in risk assessments and procedures
Systematic updates when laws or standards change
</t>
    </r>
    <r>
      <rPr>
        <b/>
        <sz val="13"/>
        <rFont val="Arial"/>
        <family val="2"/>
      </rPr>
      <t xml:space="preserve">3.2 Risk Appetite and Decision Boundaries
</t>
    </r>
    <r>
      <rPr>
        <sz val="13"/>
        <rFont val="Arial"/>
        <family val="2"/>
      </rPr>
      <t>Existence and clarity of a documented risk appetite
Consistent application of risk boundaries in decisions
Alignment between risk appetite, approvals, and planning
Leadership intervention when risk boundaries are approached</t>
    </r>
  </si>
  <si>
    <r>
      <t xml:space="preserve">Intent: </t>
    </r>
    <r>
      <rPr>
        <sz val="13"/>
        <rFont val="Arial"/>
        <family val="2"/>
      </rPr>
      <t xml:space="preserve">The organisation actively encourages and protects upward flow of risk information, fosters psychological safety, and ensures that learning from incidents, near misses, and operational experience meaningfully reshapes leadership decisions and system design.
</t>
    </r>
    <r>
      <rPr>
        <b/>
        <sz val="13"/>
        <rFont val="Arial"/>
        <family val="2"/>
      </rPr>
      <t xml:space="preserve">4.1 Escalation Pathways and Speak-Up
</t>
    </r>
    <r>
      <rPr>
        <sz val="13"/>
        <rFont val="Arial"/>
        <family val="2"/>
      </rPr>
      <t xml:space="preserve">Clarity and accessibility of speak-up and escalation routes
Defined response timeframes and feedback loops
Protection from retaliation when concerns are raised
Evidence that issues raised lead to visible action
</t>
    </r>
    <r>
      <rPr>
        <b/>
        <sz val="13"/>
        <rFont val="Arial"/>
        <family val="2"/>
      </rPr>
      <t xml:space="preserve">4.2 Psychological Safety
</t>
    </r>
    <r>
      <rPr>
        <sz val="13"/>
        <rFont val="Arial"/>
        <family val="2"/>
      </rPr>
      <t xml:space="preserve">Leadership behaviours that invite challenge and bad news
Quality of dialogue in meetings and decision forums
Absence of blame and fear of consequences for speaking up
Evidence that constructive dissent is valued and acted upon
</t>
    </r>
    <r>
      <rPr>
        <b/>
        <sz val="13"/>
        <rFont val="Arial"/>
        <family val="2"/>
      </rPr>
      <t xml:space="preserve">4.3 Learning Feeding Back into Governance
</t>
    </r>
    <r>
      <rPr>
        <sz val="13"/>
        <rFont val="Arial"/>
        <family val="2"/>
      </rPr>
      <t>Quality and depth of incident investigations
Evidence that learning leads to system or governance changes
Sharing of lessons beyond the immediate site or team
Continuous refinement of decision rules, controls, or structures</t>
    </r>
  </si>
  <si>
    <t>Most leaders understand and reference safety intent, particularly for high-risk work.</t>
  </si>
  <si>
    <t>Safety expectations are consistently applied across all layers of the organisation, including contractors.</t>
  </si>
  <si>
    <t>When things go wrong, responses tend to focus on individuals rather than the system.</t>
  </si>
  <si>
    <t>Ownership of safety is growing beyond formal leadership roles.</t>
  </si>
  <si>
    <t>A formal decision rights structure exists and is generally understood across leadership layers.</t>
  </si>
  <si>
    <t>Stop-work is becoming more acceptable, particularly for clearly high-risk situations.</t>
  </si>
  <si>
    <t>Safety forums are more purposeful and increasingly focused on risk, controls, and trends.</t>
  </si>
  <si>
    <t>Action tracking and closure are becoming more disciplined and visible.</t>
  </si>
  <si>
    <t>Decisions are transparent, well documented, and clearly linked to risk information.</t>
  </si>
  <si>
    <t>Information from the frontline rarely meaningfully influences leadership decisions.</t>
  </si>
  <si>
    <t>There is growing visibility of frontline issues at leadership level.</t>
  </si>
  <si>
    <t>The legal register is current and more clearly linked to key controls and accountable roles.</t>
  </si>
  <si>
    <t>Legal duties are not consistently reflected in risk assessments or procedures.</t>
  </si>
  <si>
    <t>High-risk planning more regularly considers relevant legal requirements.</t>
  </si>
  <si>
    <t>Legal duties are embedded into risk assessments, permits, and critical controls as standard practice.</t>
  </si>
  <si>
    <t>A documented risk appetite exists and is increasingly referenced in approvals and planning.</t>
  </si>
  <si>
    <t>Risk appetite is fully operationalised and consistently guides decisions across the business.</t>
  </si>
  <si>
    <t>Similar risks are often treated differently depending on who is involved.</t>
  </si>
  <si>
    <t>There is growing consistency in how comparable risks are managed.</t>
  </si>
  <si>
    <t>Updates to laws or standards are reactive.</t>
  </si>
  <si>
    <t>Legal changes trigger some procedural or control updates.</t>
  </si>
  <si>
    <t>Clear escalation routes are understood across most teams, with improving response times.</t>
  </si>
  <si>
    <t>Escalation pathways are clear, trusted, and used consistently by employees and contractors.</t>
  </si>
  <si>
    <t>Leaders more regularly close the loop with those who speak up.</t>
  </si>
  <si>
    <t>Feedback loops are systematic, visible, and used to improve the system.</t>
  </si>
  <si>
    <t>Leaders increasingly invite dissent and constructive challenge.</t>
  </si>
  <si>
    <t>Healthy debate is routine, and leaders actively seek out dissenting views.</t>
  </si>
  <si>
    <t>Investigations occur after serious events, but learning often stays local.</t>
  </si>
  <si>
    <t>Investigations more often identify systemic contributors, not just immediate causes.</t>
  </si>
  <si>
    <t>Corrective actions focus on immediate fixes rather than systemic change.</t>
  </si>
  <si>
    <t>Learning more regularly leads to updates in controls or procedures.</t>
  </si>
  <si>
    <t>The system feels reactive rather than proactive.</t>
  </si>
  <si>
    <t>Improvement is becoming more structured, though still uneven.</t>
  </si>
  <si>
    <r>
      <t xml:space="preserve">There is a visible commitment to safety, but </t>
    </r>
    <r>
      <rPr>
        <b/>
        <sz val="12"/>
        <color theme="1"/>
        <rFont val="Calibri"/>
        <family val="2"/>
        <scheme val="minor"/>
      </rPr>
      <t>intent is often expressed as broad values rather than clear decision rules.</t>
    </r>
  </si>
  <si>
    <r>
      <t xml:space="preserve">Leaders are broadly aligned in their safety messaging, and </t>
    </r>
    <r>
      <rPr>
        <b/>
        <sz val="12"/>
        <color theme="1"/>
        <rFont val="Calibri"/>
        <family val="2"/>
        <scheme val="minor"/>
      </rPr>
      <t>intent is increasingly translated into expectations for how work is planned and decided.</t>
    </r>
  </si>
  <si>
    <r>
      <t xml:space="preserve">Leadership intent is operational, consistent, and actively shapes </t>
    </r>
    <r>
      <rPr>
        <b/>
        <sz val="12"/>
        <color theme="1"/>
        <rFont val="Calibri"/>
        <family val="2"/>
        <scheme val="minor"/>
      </rPr>
      <t>strategy, resourcing, and risk trade-offs.</t>
    </r>
  </si>
  <si>
    <r>
      <t xml:space="preserve">Safety expectations exist, but </t>
    </r>
    <r>
      <rPr>
        <b/>
        <sz val="12"/>
        <color theme="1"/>
        <rFont val="Calibri"/>
        <family val="2"/>
        <scheme val="minor"/>
      </rPr>
      <t>application varies across leaders, teams, and sites.</t>
    </r>
  </si>
  <si>
    <r>
      <t xml:space="preserve">Accountability is primarily tied to </t>
    </r>
    <r>
      <rPr>
        <b/>
        <sz val="12"/>
        <color theme="1"/>
        <rFont val="Calibri"/>
        <family val="2"/>
        <scheme val="minor"/>
      </rPr>
      <t>compliance and lagging metrics.</t>
    </r>
  </si>
  <si>
    <r>
      <t xml:space="preserve">Leaders are increasingly accountable for </t>
    </r>
    <r>
      <rPr>
        <b/>
        <sz val="12"/>
        <color theme="1"/>
        <rFont val="Calibri"/>
        <family val="2"/>
        <scheme val="minor"/>
      </rPr>
      <t>system performance and critical control health.</t>
    </r>
  </si>
  <si>
    <r>
      <t xml:space="preserve">Leaders visibly own the health of the safety system and are accountable for </t>
    </r>
    <r>
      <rPr>
        <b/>
        <sz val="12"/>
        <color theme="1"/>
        <rFont val="Calibri"/>
        <family val="2"/>
        <scheme val="minor"/>
      </rPr>
      <t>learning, control effectiveness, and governance outcomes.</t>
    </r>
  </si>
  <si>
    <r>
      <t xml:space="preserve">Incident responses more often examine </t>
    </r>
    <r>
      <rPr>
        <b/>
        <sz val="12"/>
        <color theme="1"/>
        <rFont val="Calibri"/>
        <family val="2"/>
        <scheme val="minor"/>
      </rPr>
      <t>system contributors and leadership decisions.</t>
    </r>
  </si>
  <si>
    <r>
      <t xml:space="preserve">After significant events, </t>
    </r>
    <r>
      <rPr>
        <b/>
        <sz val="12"/>
        <color theme="1"/>
        <rFont val="Calibri"/>
        <family val="2"/>
        <scheme val="minor"/>
      </rPr>
      <t>leadership decisions, governance structures, and resourcing are routinely adjusted.</t>
    </r>
  </si>
  <si>
    <r>
      <t xml:space="preserve">Safety is still largely </t>
    </r>
    <r>
      <rPr>
        <b/>
        <sz val="12"/>
        <color theme="1"/>
        <rFont val="Calibri"/>
        <family val="2"/>
        <scheme val="minor"/>
      </rPr>
      <t>leader dependent.</t>
    </r>
  </si>
  <si>
    <r>
      <t>Safety is owned across the organisation</t>
    </r>
    <r>
      <rPr>
        <sz val="12"/>
        <color theme="1"/>
        <rFont val="Calibri"/>
        <family val="2"/>
        <scheme val="minor"/>
      </rPr>
      <t>, with leaders modelling the expected behaviours under pressure.</t>
    </r>
  </si>
  <si>
    <r>
      <t xml:space="preserve">Decision rules for high-risk work exist, but </t>
    </r>
    <r>
      <rPr>
        <b/>
        <sz val="12"/>
        <color theme="1"/>
        <rFont val="Calibri"/>
        <family val="2"/>
        <scheme val="minor"/>
      </rPr>
      <t>are not consistently understood or applied.</t>
    </r>
  </si>
  <si>
    <r>
      <t xml:space="preserve">Decision rights are clear, widely understood, and </t>
    </r>
    <r>
      <rPr>
        <b/>
        <sz val="12"/>
        <color theme="1"/>
        <rFont val="Calibri"/>
        <family val="2"/>
        <scheme val="minor"/>
      </rPr>
      <t>consistently applied across sites and contractors.</t>
    </r>
  </si>
  <si>
    <r>
      <t xml:space="preserve">Stop-work authority exists in policy, but </t>
    </r>
    <r>
      <rPr>
        <b/>
        <sz val="12"/>
        <color theme="1"/>
        <rFont val="Calibri"/>
        <family val="2"/>
        <scheme val="minor"/>
      </rPr>
      <t>is rarely exercised in practice.</t>
    </r>
  </si>
  <si>
    <r>
      <t>Stopping work is normalised</t>
    </r>
    <r>
      <rPr>
        <sz val="12"/>
        <color theme="1"/>
        <rFont val="Calibri"/>
        <family val="2"/>
        <scheme val="minor"/>
      </rPr>
      <t xml:space="preserve"> when controls are uncertain or degraded.</t>
    </r>
  </si>
  <si>
    <r>
      <t xml:space="preserve">Governance forums operate, but often feel like </t>
    </r>
    <r>
      <rPr>
        <b/>
        <sz val="12"/>
        <color theme="1"/>
        <rFont val="Calibri"/>
        <family val="2"/>
        <scheme val="minor"/>
      </rPr>
      <t>reporting exercises rather than decision-making spaces.</t>
    </r>
  </si>
  <si>
    <r>
      <t xml:space="preserve">Governance forums actively shape </t>
    </r>
    <r>
      <rPr>
        <b/>
        <sz val="12"/>
        <color theme="1"/>
        <rFont val="Calibri"/>
        <family val="2"/>
        <scheme val="minor"/>
      </rPr>
      <t>strategy, priorities, and resourcing.</t>
    </r>
  </si>
  <si>
    <r>
      <t xml:space="preserve">Actions are recorded but </t>
    </r>
    <r>
      <rPr>
        <b/>
        <sz val="12"/>
        <color theme="1"/>
        <rFont val="Calibri"/>
        <family val="2"/>
        <scheme val="minor"/>
      </rPr>
      <t>follow-through is inconsistent.</t>
    </r>
  </si>
  <si>
    <r>
      <t>Two-way flow of safety information</t>
    </r>
    <r>
      <rPr>
        <sz val="12"/>
        <color theme="1"/>
        <rFont val="Calibri"/>
        <family val="2"/>
        <scheme val="minor"/>
      </rPr>
      <t xml:space="preserve"> is strong, timely, and trusted.</t>
    </r>
  </si>
  <si>
    <r>
      <t xml:space="preserve">A legal register exists, but is treated mainly as a </t>
    </r>
    <r>
      <rPr>
        <b/>
        <sz val="12"/>
        <color theme="1"/>
        <rFont val="Calibri"/>
        <family val="2"/>
        <scheme val="minor"/>
      </rPr>
      <t>compliance artefact rather than an operational tool.</t>
    </r>
  </si>
  <si>
    <r>
      <t xml:space="preserve">The legal register is a </t>
    </r>
    <r>
      <rPr>
        <b/>
        <sz val="12"/>
        <color theme="1"/>
        <rFont val="Calibri"/>
        <family val="2"/>
        <scheme val="minor"/>
      </rPr>
      <t>live governance tool</t>
    </r>
    <r>
      <rPr>
        <sz val="12"/>
        <color theme="1"/>
        <rFont val="Calibri"/>
        <family val="2"/>
        <scheme val="minor"/>
      </rPr>
      <t xml:space="preserve"> that actively shapes control design and decision-making.</t>
    </r>
  </si>
  <si>
    <r>
      <t xml:space="preserve">Risk appetite is largely implicit and </t>
    </r>
    <r>
      <rPr>
        <b/>
        <sz val="12"/>
        <color theme="1"/>
        <rFont val="Calibri"/>
        <family val="2"/>
        <scheme val="minor"/>
      </rPr>
      <t>decisions are often driven by urgency or experience.</t>
    </r>
  </si>
  <si>
    <r>
      <t xml:space="preserve">Risk decisions are </t>
    </r>
    <r>
      <rPr>
        <b/>
        <sz val="12"/>
        <color theme="1"/>
        <rFont val="Calibri"/>
        <family val="2"/>
        <scheme val="minor"/>
      </rPr>
      <t>principled, transparent, and defensible</t>
    </r>
    <r>
      <rPr>
        <sz val="12"/>
        <color theme="1"/>
        <rFont val="Calibri"/>
        <family val="2"/>
        <scheme val="minor"/>
      </rPr>
      <t xml:space="preserve"> to regulators, clients, and stakeholders.</t>
    </r>
  </si>
  <si>
    <r>
      <t xml:space="preserve">Legal changes automatically trigger </t>
    </r>
    <r>
      <rPr>
        <b/>
        <sz val="12"/>
        <color theme="1"/>
        <rFont val="Calibri"/>
        <family val="2"/>
        <scheme val="minor"/>
      </rPr>
      <t>systematic reviews of controls, procedures, and training.</t>
    </r>
  </si>
  <si>
    <r>
      <t xml:space="preserve">Formal speak-up channels exist, but </t>
    </r>
    <r>
      <rPr>
        <b/>
        <sz val="12"/>
        <color theme="1"/>
        <rFont val="Calibri"/>
        <family val="2"/>
        <scheme val="minor"/>
      </rPr>
      <t>awareness and trust are uneven.</t>
    </r>
  </si>
  <si>
    <r>
      <t xml:space="preserve">People may raise issues, but </t>
    </r>
    <r>
      <rPr>
        <b/>
        <sz val="12"/>
        <color theme="1"/>
        <rFont val="Calibri"/>
        <family val="2"/>
        <scheme val="minor"/>
      </rPr>
      <t>feedback and visible outcomes are inconsistent.</t>
    </r>
  </si>
  <si>
    <r>
      <t xml:space="preserve">Psychological safety is emerging, but </t>
    </r>
    <r>
      <rPr>
        <b/>
        <sz val="12"/>
        <color theme="1"/>
        <rFont val="Calibri"/>
        <family val="2"/>
        <scheme val="minor"/>
      </rPr>
      <t>challenge still feels uncomfortable.</t>
    </r>
  </si>
  <si>
    <r>
      <t xml:space="preserve">Investigations routinely examine </t>
    </r>
    <r>
      <rPr>
        <b/>
        <sz val="12"/>
        <color theme="1"/>
        <rFont val="Calibri"/>
        <family val="2"/>
        <scheme val="minor"/>
      </rPr>
      <t>leadership decisions, governance, and system design.</t>
    </r>
  </si>
  <si>
    <r>
      <t xml:space="preserve">Learning consistently drives </t>
    </r>
    <r>
      <rPr>
        <b/>
        <sz val="12"/>
        <color theme="1"/>
        <rFont val="Calibri"/>
        <family val="2"/>
        <scheme val="minor"/>
      </rPr>
      <t>changes to governance, decision rights, and risk boundaries.</t>
    </r>
  </si>
  <si>
    <r>
      <t xml:space="preserve">The system is </t>
    </r>
    <r>
      <rPr>
        <b/>
        <sz val="12"/>
        <color theme="1"/>
        <rFont val="Calibri"/>
        <family val="2"/>
        <scheme val="minor"/>
      </rPr>
      <t>self-reinforcing and continuously evolving</t>
    </r>
    <r>
      <rPr>
        <sz val="12"/>
        <color theme="1"/>
        <rFont val="Calibri"/>
        <family val="2"/>
        <scheme val="minor"/>
      </rPr>
      <t xml:space="preserve"> based on real operational experience.</t>
    </r>
  </si>
  <si>
    <t>Intent and Criteria to Assess</t>
  </si>
  <si>
    <r>
      <t xml:space="preserve">Assessment Question Examples
</t>
    </r>
    <r>
      <rPr>
        <sz val="14"/>
        <color theme="0"/>
        <rFont val="Arial"/>
        <family val="2"/>
      </rPr>
      <t>Use when conducting field assessments or desktop assessments with workers and leaders.</t>
    </r>
  </si>
  <si>
    <r>
      <rPr>
        <b/>
        <sz val="14"/>
        <color theme="0"/>
        <rFont val="Arial"/>
        <family val="2"/>
      </rPr>
      <t>System-Based Queries/ Observations</t>
    </r>
    <r>
      <rPr>
        <sz val="14"/>
        <color theme="0"/>
        <rFont val="Arial"/>
        <family val="2"/>
      </rPr>
      <t xml:space="preserve">
Use to validate use, quality and consistent use of systems to achieve governance objectives.</t>
    </r>
  </si>
  <si>
    <r>
      <rPr>
        <b/>
        <sz val="14"/>
        <color theme="0"/>
        <rFont val="Arial"/>
        <family val="2"/>
      </rPr>
      <t>Symbols/ Behaviours Observations</t>
    </r>
    <r>
      <rPr>
        <sz val="14"/>
        <color theme="0"/>
        <rFont val="Arial"/>
        <family val="2"/>
      </rPr>
      <t xml:space="preserve">
Use to identify symbols or behaviours within the workplace during the assessment that indicate performance.</t>
    </r>
  </si>
  <si>
    <r>
      <t xml:space="preserve">Clarity and consistency of leadership safety intent
</t>
    </r>
    <r>
      <rPr>
        <sz val="14"/>
        <rFont val="Arial"/>
        <family val="2"/>
      </rPr>
      <t xml:space="preserve">How is leadership’s safety intent described in your organisation?
Where would I find that intent written down, and how often is it reviewed?
Has leadership’s safety intent changed in recent years, and if so, why?
How is leadership intent communicated to different parts of the business?
</t>
    </r>
    <r>
      <rPr>
        <b/>
        <sz val="14"/>
        <rFont val="Arial"/>
        <family val="2"/>
      </rPr>
      <t xml:space="preserve">Translation of intent into roles, expectations, and decisions
</t>
    </r>
    <r>
      <rPr>
        <sz val="14"/>
        <rFont val="Arial"/>
        <family val="2"/>
      </rPr>
      <t xml:space="preserve">How are safety expectations built into leader or supervisor roles?
Where are those expectations documented, for example in role descriptions or performance objectives?
How do planning processes take leadership’s safety intent into account?
When there is a conflict between schedule, cost, and safety, how is that typically resolved in your processes?
</t>
    </r>
    <r>
      <rPr>
        <b/>
        <sz val="14"/>
        <rFont val="Arial"/>
        <family val="2"/>
      </rPr>
      <t>Shared understanding across leadership layers</t>
    </r>
    <r>
      <rPr>
        <sz val="14"/>
        <rFont val="Arial"/>
        <family val="2"/>
      </rPr>
      <t xml:space="preserve">
How do you make sure leaders at different levels have a common understanding of safety priorities?
Are there forums or routines where leaders align on safety expectations? If yes, how do these work?
</t>
    </r>
    <r>
      <rPr>
        <b/>
        <sz val="14"/>
        <rFont val="Arial"/>
        <family val="2"/>
      </rPr>
      <t>Alignment between words and actions</t>
    </r>
    <r>
      <rPr>
        <sz val="14"/>
        <rFont val="Arial"/>
        <family val="2"/>
      </rPr>
      <t xml:space="preserve">
How do leaders demonstrate their safety intent through day-to-day decisions?
What mechanisms exist to check whether leadership behaviour aligns with stated safety intent?</t>
    </r>
  </si>
  <si>
    <r>
      <t xml:space="preserve">Process  Question Examples
</t>
    </r>
    <r>
      <rPr>
        <sz val="14"/>
        <color theme="0"/>
        <rFont val="Arial"/>
        <family val="2"/>
      </rPr>
      <t>Use when conducting field assessments or desktop assessments with workers and leaders.</t>
    </r>
  </si>
  <si>
    <r>
      <t xml:space="preserve">People Question Examples
</t>
    </r>
    <r>
      <rPr>
        <sz val="14"/>
        <color theme="0"/>
        <rFont val="Arial"/>
        <family val="2"/>
      </rPr>
      <t>Use when conducting field assessments or desktop assessments with workers and leaders.</t>
    </r>
  </si>
  <si>
    <r>
      <t xml:space="preserve">How leaders and workers interpret intent
</t>
    </r>
    <r>
      <rPr>
        <sz val="14"/>
        <rFont val="Arial"/>
        <family val="2"/>
      </rPr>
      <t xml:space="preserve">If I asked five leaders what “good safety” means here, how similar do you think their answers would be?
In your view, what do senior leaders care about most when things get busy or under pressure?
</t>
    </r>
    <r>
      <rPr>
        <b/>
        <sz val="14"/>
        <rFont val="Arial"/>
        <family val="2"/>
      </rPr>
      <t xml:space="preserve">
How intent shows up in real work
</t>
    </r>
    <r>
      <rPr>
        <sz val="14"/>
        <rFont val="Arial"/>
        <family val="2"/>
      </rPr>
      <t xml:space="preserve">Can you tell me about a recent situation where safety and productivity were in tension? How was that handled?
When plans change at short notice, how clear is it what leaders expect from a safety perspective?
</t>
    </r>
    <r>
      <rPr>
        <b/>
        <sz val="14"/>
        <rFont val="Arial"/>
        <family val="2"/>
      </rPr>
      <t>Consistency across teams and sites</t>
    </r>
    <r>
      <rPr>
        <sz val="14"/>
        <rFont val="Arial"/>
        <family val="2"/>
      </rPr>
      <t xml:space="preserve">
Do you think safety expectations are applied the same way across different teams or shifts? Why or why not?
Are there examples where one leader handles risk very differently to another? What does that look like?
</t>
    </r>
    <r>
      <rPr>
        <b/>
        <sz val="14"/>
        <rFont val="Arial"/>
        <family val="2"/>
      </rPr>
      <t>How people feel about leadership intent</t>
    </r>
    <r>
      <rPr>
        <sz val="14"/>
        <rFont val="Arial"/>
        <family val="2"/>
      </rPr>
      <t xml:space="preserve">
Do people generally feel confident they understand what leadership expects when it comes to safety?
Do you feel supported by leadership when you prioritise safety, even if it slows work down?</t>
    </r>
  </si>
  <si>
    <r>
      <rPr>
        <b/>
        <sz val="14"/>
        <rFont val="Arial"/>
        <family val="2"/>
      </rPr>
      <t>Formal accountability mechanisms</t>
    </r>
    <r>
      <rPr>
        <sz val="14"/>
        <rFont val="Arial"/>
        <family val="2"/>
      </rPr>
      <t xml:space="preserve">
How is safety built into leadership performance reviews or objectives?
Beyond injuries, what safety performance measures are leaders held accountable for?
How are leaders held accountable for critical controls or major risks?
Are there formal consequences when safety performance or system performance is poor? If yes, how does that work?
</t>
    </r>
    <r>
      <rPr>
        <b/>
        <sz val="14"/>
        <rFont val="Arial"/>
        <family val="2"/>
      </rPr>
      <t>Ownership of system performance</t>
    </r>
    <r>
      <rPr>
        <sz val="14"/>
        <rFont val="Arial"/>
        <family val="2"/>
      </rPr>
      <t xml:space="preserve">
How do leaders monitor the health of critical controls in your business?
What regular reviews or dashboards do leaders use to understand safety system performance?
How are recurring safety issues escalated and addressed at leadership level?
</t>
    </r>
    <r>
      <rPr>
        <b/>
        <sz val="14"/>
        <rFont val="Arial"/>
        <family val="2"/>
      </rPr>
      <t>Leadership response to incidents and failures</t>
    </r>
    <r>
      <rPr>
        <sz val="14"/>
        <rFont val="Arial"/>
        <family val="2"/>
      </rPr>
      <t xml:space="preserve">
When significant incidents or near misses occur, what is the typical leadership response?
How are leadership decisions reviewed following serious events?
What usually changes at a leadership or system level after a major incident?
</t>
    </r>
    <r>
      <rPr>
        <b/>
        <sz val="14"/>
        <rFont val="Arial"/>
        <family val="2"/>
      </rPr>
      <t>Consistency and fairness</t>
    </r>
    <r>
      <rPr>
        <sz val="14"/>
        <rFont val="Arial"/>
        <family val="2"/>
      </rPr>
      <t xml:space="preserve">
Are safety accountabilities applied consistently across different leaders and business units?
How does the organisation avoid blame-focused responses after incidents?</t>
    </r>
  </si>
  <si>
    <r>
      <rPr>
        <b/>
        <sz val="14"/>
        <rFont val="Arial"/>
        <family val="2"/>
      </rPr>
      <t>How accountability feels in practice</t>
    </r>
    <r>
      <rPr>
        <sz val="14"/>
        <rFont val="Arial"/>
        <family val="2"/>
      </rPr>
      <t xml:space="preserve">
Do you feel leaders genuinely own safety outcomes, or is it mostly pushed down to supervisors and workers?
When things go wrong, do people feel the system is examined, or mainly individual behaviour?
</t>
    </r>
    <r>
      <rPr>
        <b/>
        <sz val="14"/>
        <rFont val="Arial"/>
        <family val="2"/>
      </rPr>
      <t>Accountability for system performance, not just incidents</t>
    </r>
    <r>
      <rPr>
        <sz val="14"/>
        <rFont val="Arial"/>
        <family val="2"/>
      </rPr>
      <t xml:space="preserve">
Have you seen examples where leaders took responsibility for system weaknesses rather than blaming individuals?
Are leaders more focused on injury numbers or on whether controls are actually working?
</t>
    </r>
    <r>
      <rPr>
        <b/>
        <sz val="14"/>
        <rFont val="Arial"/>
        <family val="2"/>
      </rPr>
      <t xml:space="preserve">Leadership behaviour after incidents
</t>
    </r>
    <r>
      <rPr>
        <sz val="14"/>
        <rFont val="Arial"/>
        <family val="2"/>
      </rPr>
      <t xml:space="preserve">Can you describe how leaders responded to the last serious incident or near miss?
Did that response lead to meaningful changes, or mostly paperwork and reminders?
</t>
    </r>
    <r>
      <rPr>
        <b/>
        <sz val="14"/>
        <rFont val="Arial"/>
        <family val="2"/>
      </rPr>
      <t>Fairness and consistency</t>
    </r>
    <r>
      <rPr>
        <sz val="14"/>
        <rFont val="Arial"/>
        <family val="2"/>
      </rPr>
      <t xml:space="preserve">
In your experience, are safety consequences applied fairly across different levels of leadership?
Would you say accountability feels constructive and improvement-focused, or reactive and punitive?</t>
    </r>
  </si>
  <si>
    <r>
      <rPr>
        <b/>
        <sz val="14"/>
        <rFont val="Arial"/>
        <family val="2"/>
      </rPr>
      <t>Clarity of approval, escalation, and stop-work authority</t>
    </r>
    <r>
      <rPr>
        <sz val="14"/>
        <rFont val="Arial"/>
        <family val="2"/>
      </rPr>
      <t xml:space="preserve">
How are decision rights for high-risk work described in your organisation?
Where would I find these decision rights documented?
How are approval levels determined for different types of risk?
How is stop-work authority defined in your procedures or policies?
</t>
    </r>
    <r>
      <rPr>
        <b/>
        <sz val="14"/>
        <rFont val="Arial"/>
        <family val="2"/>
      </rPr>
      <t>Consistent application of decision rules</t>
    </r>
    <r>
      <rPr>
        <sz val="14"/>
        <rFont val="Arial"/>
        <family val="2"/>
      </rPr>
      <t xml:space="preserve">
How do you ensure decision rules are applied the same way across teams or sites?
Are there standard thresholds or criteria that trigger escalation or review?
How are contractors included in your decision-rights arrangements?
</t>
    </r>
    <r>
      <rPr>
        <b/>
        <sz val="14"/>
        <rFont val="Arial"/>
        <family val="2"/>
      </rPr>
      <t xml:space="preserve">Alignment between documented decision rights and real decisions
</t>
    </r>
    <r>
      <rPr>
        <sz val="14"/>
        <rFont val="Arial"/>
        <family val="2"/>
      </rPr>
      <t xml:space="preserve">How do you check that decisions made in the field align with what is written in your decision-rights documents?
When decisions deviate from the documented process, how is that managed or reviewed?
</t>
    </r>
    <r>
      <rPr>
        <b/>
        <sz val="14"/>
        <rFont val="Arial"/>
        <family val="2"/>
      </rPr>
      <t>Functionality of escalation pathways under pressure</t>
    </r>
    <r>
      <rPr>
        <sz val="14"/>
        <rFont val="Arial"/>
        <family val="2"/>
      </rPr>
      <t xml:space="preserve">
How are escalation pathways expected to work when schedules or budgets are under pressure?
Are there any formal triggers that require mandatory escalation? If so, what are they?
How do you capture and review escalations after they occur?</t>
    </r>
  </si>
  <si>
    <r>
      <rPr>
        <b/>
        <sz val="14"/>
        <rFont val="Arial"/>
        <family val="2"/>
      </rPr>
      <t>How clear decision rights feel in practice</t>
    </r>
    <r>
      <rPr>
        <sz val="14"/>
        <rFont val="Arial"/>
        <family val="2"/>
      </rPr>
      <t xml:space="preserve">
If you had to make a high-risk decision tomorrow, how confident would you feel about who has the final say? Why?
Do people generally agree on who should be involved in high-risk decisions, or does it vary?
</t>
    </r>
    <r>
      <rPr>
        <b/>
        <sz val="14"/>
        <rFont val="Arial"/>
        <family val="2"/>
      </rPr>
      <t>Real-world use of stop-work authority</t>
    </r>
    <r>
      <rPr>
        <sz val="14"/>
        <rFont val="Arial"/>
        <family val="2"/>
      </rPr>
      <t xml:space="preserve">
Can you tell me about a time when work was stopped due to safety concerns? What happened?
How comfortable do people feel using stop-work authority? What makes it easier or harder?
</t>
    </r>
    <r>
      <rPr>
        <b/>
        <sz val="14"/>
        <rFont val="Arial"/>
        <family val="2"/>
      </rPr>
      <t>How decisions play out under pressure</t>
    </r>
    <r>
      <rPr>
        <sz val="14"/>
        <rFont val="Arial"/>
        <family val="2"/>
      </rPr>
      <t xml:space="preserve">
When deadlines are tight, how does that affect safety decision-making?
In your experience, does escalation happen early or only when things are already going wrong?
</t>
    </r>
    <r>
      <rPr>
        <b/>
        <sz val="14"/>
        <rFont val="Arial"/>
        <family val="2"/>
      </rPr>
      <t>Alignment between documents and reality</t>
    </r>
    <r>
      <rPr>
        <sz val="14"/>
        <rFont val="Arial"/>
        <family val="2"/>
      </rPr>
      <t xml:space="preserve">
Do the formal decision-rights documents reflect how decisions actually get made day to day? Why or why not?
Are there situations where people rely more on relationships than formal processes to get decisions made?</t>
    </r>
  </si>
  <si>
    <r>
      <rPr>
        <b/>
        <sz val="14"/>
        <rFont val="Arial"/>
        <family val="2"/>
      </rPr>
      <t>Clarity of governance structure, roles, and forums</t>
    </r>
    <r>
      <rPr>
        <sz val="14"/>
        <rFont val="Arial"/>
        <family val="2"/>
      </rPr>
      <t xml:space="preserve">
How is your safety governance structure organised?
What are the main safety forums or committees, and what are their purposes?
How often do these forums meet, and who is expected to attend?
How are roles and responsibilities within these forums defined?
</t>
    </r>
    <r>
      <rPr>
        <b/>
        <sz val="14"/>
        <rFont val="Arial"/>
        <family val="2"/>
      </rPr>
      <t>Quality and purposefulness of meetings and reviews</t>
    </r>
    <r>
      <rPr>
        <sz val="14"/>
        <rFont val="Arial"/>
        <family val="2"/>
      </rPr>
      <t xml:space="preserve">
What is typically covered in your safety meetings or management reviews?
How do you decide what issues are discussed at each forum?
How do you ensure meetings focus on real risk rather than just reporting numbers?
</t>
    </r>
    <r>
      <rPr>
        <b/>
        <sz val="14"/>
        <rFont val="Arial"/>
        <family val="2"/>
      </rPr>
      <t>Decision-making, action tracking, and follow-through</t>
    </r>
    <r>
      <rPr>
        <sz val="14"/>
        <rFont val="Arial"/>
        <family val="2"/>
      </rPr>
      <t xml:space="preserve">
How are decisions recorded and communicated from governance forums?
How are actions assigned, tracked, and closed out?
How do you know whether actions have actually made a difference?
</t>
    </r>
    <r>
      <rPr>
        <b/>
        <sz val="14"/>
        <rFont val="Arial"/>
        <family val="2"/>
      </rPr>
      <t>Flow of safety information between frontline and leadership</t>
    </r>
    <r>
      <rPr>
        <sz val="14"/>
        <rFont val="Arial"/>
        <family val="2"/>
      </rPr>
      <t xml:space="preserve">
How do frontline concerns or learnings get elevated to leadership forums?
How do leaders share decisions or outcomes back to the workforce?
Are there formal mechanisms for two-way communication on safety issues?</t>
    </r>
  </si>
  <si>
    <r>
      <rPr>
        <b/>
        <sz val="14"/>
        <rFont val="Arial"/>
        <family val="2"/>
      </rPr>
      <t>How effective governance feels in practice</t>
    </r>
    <r>
      <rPr>
        <sz val="14"/>
        <rFont val="Arial"/>
        <family val="2"/>
      </rPr>
      <t xml:space="preserve">
Do people see safety forums as useful or more of a formality? Why?
When issues are raised in these forums, do people feel they are genuinely heard?
</t>
    </r>
    <r>
      <rPr>
        <b/>
        <sz val="14"/>
        <rFont val="Arial"/>
        <family val="2"/>
      </rPr>
      <t>Quality of conversations</t>
    </r>
    <r>
      <rPr>
        <sz val="14"/>
        <rFont val="Arial"/>
        <family val="2"/>
      </rPr>
      <t xml:space="preserve">
In your experience, do safety meetings tend to focus more on numbers or on real risks?
Are difficult or uncomfortable safety topics openly discussed, or avoided?
</t>
    </r>
    <r>
      <rPr>
        <b/>
        <sz val="14"/>
        <rFont val="Arial"/>
        <family val="2"/>
      </rPr>
      <t>Action and follow-through</t>
    </r>
    <r>
      <rPr>
        <sz val="14"/>
        <rFont val="Arial"/>
        <family val="2"/>
      </rPr>
      <t xml:space="preserve">
When actions are raised in meetings, do they usually get resolved? Can you give an example?
Have you seen situations where the same issues keep coming up without real change?
</t>
    </r>
    <r>
      <rPr>
        <b/>
        <sz val="14"/>
        <rFont val="Arial"/>
        <family val="2"/>
      </rPr>
      <t>Frontline to leadership connection</t>
    </r>
    <r>
      <rPr>
        <sz val="14"/>
        <rFont val="Arial"/>
        <family val="2"/>
      </rPr>
      <t xml:space="preserve">
Do you feel there is a good flow of safety information between workers and leadership? Why or why not?
When frontline issues are raised, do you usually see visible outcomes or feedback?</t>
    </r>
  </si>
  <si>
    <r>
      <rPr>
        <b/>
        <sz val="14"/>
        <rFont val="Arial"/>
        <family val="2"/>
      </rPr>
      <t>Currency and relevance of the legal register</t>
    </r>
    <r>
      <rPr>
        <sz val="14"/>
        <rFont val="Arial"/>
        <family val="2"/>
      </rPr>
      <t xml:space="preserve">
How do you keep your legal register up to date?
Who is responsible for maintaining it, and how often is it reviewed?
How do you decide which laws, codes or standards are most relevant to your operations?
How do you make sure the register reflects what you actually do, not just generic legislation?
</t>
    </r>
    <r>
      <rPr>
        <b/>
        <sz val="14"/>
        <rFont val="Arial"/>
        <family val="2"/>
      </rPr>
      <t>Mapping legal duties to controls and roles</t>
    </r>
    <r>
      <rPr>
        <sz val="14"/>
        <rFont val="Arial"/>
        <family val="2"/>
      </rPr>
      <t xml:space="preserve">
How are legal duties translated into your controls, procedures or standards?
Where can I see the link between a specific legal duty and the controls that manage it?
How do you make clear who is accountable for meeting key legal duties?
How are these accountabilities communicated to leaders and supervisors?
</t>
    </r>
    <r>
      <rPr>
        <b/>
        <sz val="14"/>
        <rFont val="Arial"/>
        <family val="2"/>
      </rPr>
      <t>Use of legal requirements in risk assessments and procedures</t>
    </r>
    <r>
      <rPr>
        <sz val="14"/>
        <rFont val="Arial"/>
        <family val="2"/>
      </rPr>
      <t xml:space="preserve">
How are legal requirements considered when you do risk assessments or SWMS?
Can you show me an example where a legal requirement clearly shaped how a task is controlled?
How do you avoid legal requirements becoming just “cut and paste” text in documents?
</t>
    </r>
    <r>
      <rPr>
        <b/>
        <sz val="14"/>
        <rFont val="Arial"/>
        <family val="2"/>
      </rPr>
      <t>Systematic updates when laws change</t>
    </r>
    <r>
      <rPr>
        <sz val="14"/>
        <rFont val="Arial"/>
        <family val="2"/>
      </rPr>
      <t xml:space="preserve">
What happens in your system when legislation or standards change?
How do you identify which procedures, controls or roles need updating?
How do you verify that changes have actually been implemented, not just documented?</t>
    </r>
  </si>
  <si>
    <r>
      <rPr>
        <b/>
        <sz val="14"/>
        <rFont val="Arial"/>
        <family val="2"/>
      </rPr>
      <t>How leaders and workers understand legal duties</t>
    </r>
    <r>
      <rPr>
        <sz val="14"/>
        <rFont val="Arial"/>
        <family val="2"/>
      </rPr>
      <t xml:space="preserve">
If I asked a supervisor what their key legal duties are, how confident are you they could explain them?
Do people generally see legal requirements as practical guidance or as paperwork? Why?
</t>
    </r>
    <r>
      <rPr>
        <b/>
        <sz val="14"/>
        <rFont val="Arial"/>
        <family val="2"/>
      </rPr>
      <t>How legal duties shape real decisions</t>
    </r>
    <r>
      <rPr>
        <sz val="14"/>
        <rFont val="Arial"/>
        <family val="2"/>
      </rPr>
      <t xml:space="preserve">
Can you describe a time when a legal duty influenced a real operational decision?
When there is pressure to get work done, do legal requirements still meaningfully shape decisions? How?
</t>
    </r>
    <r>
      <rPr>
        <b/>
        <sz val="14"/>
        <rFont val="Arial"/>
        <family val="2"/>
      </rPr>
      <t>Ownership and clarity</t>
    </r>
    <r>
      <rPr>
        <sz val="14"/>
        <rFont val="Arial"/>
        <family val="2"/>
      </rPr>
      <t xml:space="preserve">
Do leaders feel clear about what they are legally accountable for, or is it often seen as “HSE’s job”?
Do workers understand why certain controls exist in relation to legal duties, or do they just follow them?</t>
    </r>
  </si>
  <si>
    <r>
      <rPr>
        <b/>
        <sz val="14"/>
        <rFont val="Arial"/>
        <family val="2"/>
      </rPr>
      <t>Existence and clarity of risk appetite</t>
    </r>
    <r>
      <rPr>
        <sz val="14"/>
        <rFont val="Arial"/>
        <family val="2"/>
      </rPr>
      <t xml:space="preserve">
Does your organisation have a documented risk appetite statement?
How would you describe your risk appetite in simple terms?
Where is it documented, and who is expected to use it?
How often is it reviewed or updated?
</t>
    </r>
    <r>
      <rPr>
        <b/>
        <sz val="14"/>
        <rFont val="Arial"/>
        <family val="2"/>
      </rPr>
      <t>Application of risk boundaries in decisions</t>
    </r>
    <r>
      <rPr>
        <sz val="14"/>
        <rFont val="Arial"/>
        <family val="2"/>
      </rPr>
      <t xml:space="preserve">
How is risk appetite used in planning high-risk work?
Are there clear thresholds that trigger escalation or additional approval?
How are these thresholds defined and communicated?
How do you make sure different teams apply these boundaries consistently?
</t>
    </r>
    <r>
      <rPr>
        <b/>
        <sz val="14"/>
        <rFont val="Arial"/>
        <family val="2"/>
      </rPr>
      <t xml:space="preserve">Alignment with approvals and planning
</t>
    </r>
    <r>
      <rPr>
        <sz val="14"/>
        <rFont val="Arial"/>
        <family val="2"/>
      </rPr>
      <t xml:space="preserve">How do approval processes reflect your stated risk appetite?
When project timelines or budgets are tight, how do you ensure risk boundaries are still respected?
How do you handle situations where commercial pressure conflicts with risk boundaries?
</t>
    </r>
    <r>
      <rPr>
        <b/>
        <sz val="14"/>
        <rFont val="Arial"/>
        <family val="2"/>
      </rPr>
      <t>Leadership intervention near boundaries</t>
    </r>
    <r>
      <rPr>
        <sz val="14"/>
        <rFont val="Arial"/>
        <family val="2"/>
      </rPr>
      <t xml:space="preserve">
What happens when work approaches the edge of your risk tolerance?
How do leaders get visibility of these situations?
Are there formal triggers that require leadership involvement?</t>
    </r>
  </si>
  <si>
    <r>
      <rPr>
        <b/>
        <sz val="14"/>
        <rFont val="Arial"/>
        <family val="2"/>
      </rPr>
      <t>Shared understanding of risk appetite</t>
    </r>
    <r>
      <rPr>
        <sz val="14"/>
        <rFont val="Arial"/>
        <family val="2"/>
      </rPr>
      <t xml:space="preserve">
If I asked five leaders what your risk appetite is, how similar do you think their answers would be?
Do supervisors and frontline teams understand where the “lines in the sand” are? Why or why not?
</t>
    </r>
    <r>
      <rPr>
        <b/>
        <sz val="14"/>
        <rFont val="Arial"/>
        <family val="2"/>
      </rPr>
      <t>How risk boundaries play out in real work</t>
    </r>
    <r>
      <rPr>
        <sz val="14"/>
        <rFont val="Arial"/>
        <family val="2"/>
      </rPr>
      <t xml:space="preserve">
Can you give an example where risk appetite clearly shaped a decision in the field?
Have you ever seen work proceed even when it felt close to or beyond your risk boundaries? What happened?
</t>
    </r>
    <r>
      <rPr>
        <b/>
        <sz val="14"/>
        <rFont val="Arial"/>
        <family val="2"/>
      </rPr>
      <t>Consistency and fairness</t>
    </r>
    <r>
      <rPr>
        <sz val="14"/>
        <rFont val="Arial"/>
        <family val="2"/>
      </rPr>
      <t xml:space="preserve">
Do you feel similar risks are treated the same way across teams or projects?
Are decisions about risk boundaries influenced more by the situation, the leader, or the rules?
</t>
    </r>
    <r>
      <rPr>
        <b/>
        <sz val="14"/>
        <rFont val="Arial"/>
        <family val="2"/>
      </rPr>
      <t>Leadership behaviour near risk boundaries</t>
    </r>
    <r>
      <rPr>
        <sz val="14"/>
        <rFont val="Arial"/>
        <family val="2"/>
      </rPr>
      <t xml:space="preserve">
When risks escalate, do leaders tend to step in early or only after problems arise?
Do leaders support teams who stop work or slow down due to risk concerns?</t>
    </r>
  </si>
  <si>
    <r>
      <rPr>
        <b/>
        <sz val="14"/>
        <rFont val="Arial"/>
        <family val="2"/>
      </rPr>
      <t>Clarity and accessibility of speak-up routes</t>
    </r>
    <r>
      <rPr>
        <sz val="14"/>
        <rFont val="Arial"/>
        <family val="2"/>
      </rPr>
      <t xml:space="preserve">
What formal ways can people use to raise a safety concern in your organisation?
Where are these options explained or displayed for workers and contractors?
Are there different routes depending on the type or severity of the concern? How?
How are new starters or contractors made aware of these pathways?
</t>
    </r>
    <r>
      <rPr>
        <b/>
        <sz val="14"/>
        <rFont val="Arial"/>
        <family val="2"/>
      </rPr>
      <t>Response timeframes and feedback loops</t>
    </r>
    <r>
      <rPr>
        <sz val="14"/>
        <rFont val="Arial"/>
        <family val="2"/>
      </rPr>
      <t xml:space="preserve">
Are there defined timeframes for responding to safety concerns? What are they?
How do people who raise issues know what has happened with their concern?
How is feedback recorded and tracked?
How do you monitor whether responses are happening quickly enough?
</t>
    </r>
    <r>
      <rPr>
        <b/>
        <sz val="14"/>
        <rFont val="Arial"/>
        <family val="2"/>
      </rPr>
      <t xml:space="preserve">Protection from retaliation
</t>
    </r>
    <r>
      <rPr>
        <sz val="14"/>
        <rFont val="Arial"/>
        <family val="2"/>
      </rPr>
      <t xml:space="preserve">What formal protections exist to prevent retaliation when someone raises a concern?
How are leaders trained or guided to handle speak-up appropriately?
How would someone report retaliation if it occurred?
</t>
    </r>
    <r>
      <rPr>
        <b/>
        <sz val="14"/>
        <rFont val="Arial"/>
        <family val="2"/>
      </rPr>
      <t>Evidence of action</t>
    </r>
    <r>
      <rPr>
        <sz val="14"/>
        <rFont val="Arial"/>
        <family val="2"/>
      </rPr>
      <t xml:space="preserve">
How do you demonstrate that concerns raised lead to real action?
Where would I see examples of issues raised and what changed as a result?
How are recurring issues reviewed to prevent them happening again?</t>
    </r>
  </si>
  <si>
    <r>
      <rPr>
        <b/>
        <sz val="14"/>
        <rFont val="Arial"/>
        <family val="2"/>
      </rPr>
      <t>Trust and accessibility</t>
    </r>
    <r>
      <rPr>
        <sz val="14"/>
        <rFont val="Arial"/>
        <family val="2"/>
      </rPr>
      <t xml:space="preserve">
If someone on your team had a serious safety concern, how likely are they to raise it? Why?
Do people feel it is easier to speak up formally or informally? What drives that?
</t>
    </r>
    <r>
      <rPr>
        <b/>
        <sz val="14"/>
        <rFont val="Arial"/>
        <family val="2"/>
      </rPr>
      <t>Experience of response and feedback</t>
    </r>
    <r>
      <rPr>
        <sz val="14"/>
        <rFont val="Arial"/>
        <family val="2"/>
      </rPr>
      <t xml:space="preserve">
Can you think of a time when someone raised a concern? What happened next?
Do people generally feel they get meaningful feedback after speaking up?
</t>
    </r>
    <r>
      <rPr>
        <b/>
        <sz val="14"/>
        <rFont val="Arial"/>
        <family val="2"/>
      </rPr>
      <t>Fear of retaliation</t>
    </r>
    <r>
      <rPr>
        <sz val="14"/>
        <rFont val="Arial"/>
        <family val="2"/>
      </rPr>
      <t xml:space="preserve">
Do people worry about negative consequences if they raise safety issues? Why or why not?
Have you ever seen or heard of retaliation for speaking up? What happened?
</t>
    </r>
    <r>
      <rPr>
        <b/>
        <sz val="14"/>
        <rFont val="Arial"/>
        <family val="2"/>
      </rPr>
      <t>Impact of escalation</t>
    </r>
    <r>
      <rPr>
        <sz val="14"/>
        <rFont val="Arial"/>
        <family val="2"/>
      </rPr>
      <t xml:space="preserve">
When concerns are raised, do you usually see visible changes, or does it feel like nothing happens?
What makes people more or less willing to escalate issues here?</t>
    </r>
  </si>
  <si>
    <r>
      <rPr>
        <b/>
        <sz val="14"/>
        <rFont val="Arial"/>
        <family val="2"/>
      </rPr>
      <t>Leadership behaviours that invite challenge</t>
    </r>
    <r>
      <rPr>
        <sz val="14"/>
        <rFont val="Arial"/>
        <family val="2"/>
      </rPr>
      <t xml:space="preserve">
How do leaders formally encourage people to speak up or challenge decisions?
Are there any structured forums designed specifically for open discussion or learning?
How are leaders supported or trained to build psychological safety?
</t>
    </r>
    <r>
      <rPr>
        <b/>
        <sz val="14"/>
        <rFont val="Arial"/>
        <family val="2"/>
      </rPr>
      <t>Quality of dialogue in meetings</t>
    </r>
    <r>
      <rPr>
        <sz val="14"/>
        <rFont val="Arial"/>
        <family val="2"/>
      </rPr>
      <t xml:space="preserve">
How are safety discussions typically run in meetings?
Are difficult or uncomfortable topics included in agendas? How?
How are differing opinions handled in decision forums?
</t>
    </r>
    <r>
      <rPr>
        <b/>
        <sz val="14"/>
        <rFont val="Arial"/>
        <family val="2"/>
      </rPr>
      <t>Absence of blame</t>
    </r>
    <r>
      <rPr>
        <sz val="14"/>
        <rFont val="Arial"/>
        <family val="2"/>
      </rPr>
      <t xml:space="preserve">
What guidance exists on how incidents or mistakes should be handled?
How does the organisation differentiate between honest error and reckless behaviour?
How are investigation findings communicated to avoid blame?
</t>
    </r>
    <r>
      <rPr>
        <b/>
        <sz val="14"/>
        <rFont val="Arial"/>
        <family val="2"/>
      </rPr>
      <t>Valuing constructive dissent</t>
    </r>
    <r>
      <rPr>
        <sz val="14"/>
        <rFont val="Arial"/>
        <family val="2"/>
      </rPr>
      <t xml:space="preserve">
Are there examples where people who challenged decisions were recognised or thanked?
How do leaders signal that dissent is welcome rather than unwelcome?</t>
    </r>
  </si>
  <si>
    <r>
      <rPr>
        <b/>
        <sz val="14"/>
        <rFont val="Arial"/>
        <family val="2"/>
      </rPr>
      <t>Comfort in speaking up</t>
    </r>
    <r>
      <rPr>
        <sz val="14"/>
        <rFont val="Arial"/>
        <family val="2"/>
      </rPr>
      <t xml:space="preserve">
Do people generally feel safe raising concerns in front of their leader or peers? Why or why not?
Are there topics that feel “unsafe” to discuss openly? What makes them that way?
</t>
    </r>
    <r>
      <rPr>
        <b/>
        <sz val="14"/>
        <rFont val="Arial"/>
        <family val="2"/>
      </rPr>
      <t>Real conversations vs polite compliance</t>
    </r>
    <r>
      <rPr>
        <sz val="14"/>
        <rFont val="Arial"/>
        <family val="2"/>
      </rPr>
      <t xml:space="preserve">
In meetings, do people tend to speak honestly or mainly say what they think leaders want to hear?
Can you recall a time when someone disagreed with a decision? How was it handled?
</t>
    </r>
    <r>
      <rPr>
        <b/>
        <sz val="14"/>
        <rFont val="Arial"/>
        <family val="2"/>
      </rPr>
      <t>Leadership reactions</t>
    </r>
    <r>
      <rPr>
        <sz val="14"/>
        <rFont val="Arial"/>
        <family val="2"/>
      </rPr>
      <t xml:space="preserve">
How do leaders typically respond when someone brings bad news or a problem?
Do leaders tend to get defensive, curious, or solution-focused?
</t>
    </r>
    <r>
      <rPr>
        <b/>
        <sz val="14"/>
        <rFont val="Arial"/>
        <family val="2"/>
      </rPr>
      <t>Culture and trust</t>
    </r>
    <r>
      <rPr>
        <sz val="14"/>
        <rFont val="Arial"/>
        <family val="2"/>
      </rPr>
      <t xml:space="preserve">
Do people feel that raising issues leads to learning or punishment?
If you made a mistake tomorrow, how confident are you that it would be treated fairly?
What would make it easier for people to speak up here?</t>
    </r>
  </si>
  <si>
    <r>
      <rPr>
        <b/>
        <sz val="14"/>
        <rFont val="Arial"/>
        <family val="2"/>
      </rPr>
      <t>Quality and depth of investigations</t>
    </r>
    <r>
      <rPr>
        <sz val="14"/>
        <rFont val="Arial"/>
        <family val="2"/>
      </rPr>
      <t xml:space="preserve">
How are serious incidents and near misses investigated?
Who is involved in investigations, and how are they selected?
How do you ensure investigations look beyond immediate causes to systemic factors?
How is leadership involved in reviewing investigation findings?
</t>
    </r>
    <r>
      <rPr>
        <b/>
        <sz val="14"/>
        <rFont val="Arial"/>
        <family val="2"/>
      </rPr>
      <t>Learning leading to system change</t>
    </r>
    <r>
      <rPr>
        <sz val="14"/>
        <rFont val="Arial"/>
        <family val="2"/>
      </rPr>
      <t xml:space="preserve">
How are investigation learnings translated into changes in controls, procedures, or governance?
Where would I see examples of leadership-level changes following an incident?
How do you check whether changes actually reduced risk?
</t>
    </r>
    <r>
      <rPr>
        <b/>
        <sz val="14"/>
        <rFont val="Arial"/>
        <family val="2"/>
      </rPr>
      <t>Sharing lessons beyond one site</t>
    </r>
    <r>
      <rPr>
        <sz val="14"/>
        <rFont val="Arial"/>
        <family val="2"/>
      </rPr>
      <t xml:space="preserve">
How are lessons learned shared across teams, sites, or projects?
Are there formal forums, bulletins, or platforms for sharing learning?
How do you ensure contractors or partner organisations receive relevant lessons?
</t>
    </r>
    <r>
      <rPr>
        <b/>
        <sz val="14"/>
        <rFont val="Arial"/>
        <family val="2"/>
      </rPr>
      <t>Continuous refinement</t>
    </r>
    <r>
      <rPr>
        <sz val="14"/>
        <rFont val="Arial"/>
        <family val="2"/>
      </rPr>
      <t xml:space="preserve">
How are decision rules, risk boundaries, or governance structures reviewed over time?
What triggers a review of these elements?
How do you capture and use operational experience to improve the system?</t>
    </r>
  </si>
  <si>
    <r>
      <rPr>
        <b/>
        <sz val="14"/>
        <rFont val="Arial"/>
        <family val="2"/>
      </rPr>
      <t>Perception of investigations</t>
    </r>
    <r>
      <rPr>
        <sz val="14"/>
        <rFont val="Arial"/>
        <family val="2"/>
      </rPr>
      <t xml:space="preserve">
Do people see investigations as fair and focused on learning, or mainly on blame? Why?
After incidents, do people feel the “real” issues are addressed or just the obvious ones?
</t>
    </r>
    <r>
      <rPr>
        <b/>
        <sz val="14"/>
        <rFont val="Arial"/>
        <family val="2"/>
      </rPr>
      <t xml:space="preserve">Visibility of learning
</t>
    </r>
    <r>
      <rPr>
        <sz val="14"/>
        <rFont val="Arial"/>
        <family val="2"/>
      </rPr>
      <t xml:space="preserve">Can you think of a recent example where learning led to real change? What changed?
Do workers generally know what has been learned from past incidents?
</t>
    </r>
    <r>
      <rPr>
        <b/>
        <sz val="14"/>
        <rFont val="Arial"/>
        <family val="2"/>
      </rPr>
      <t>Impact on leadership and governance</t>
    </r>
    <r>
      <rPr>
        <sz val="14"/>
        <rFont val="Arial"/>
        <family val="2"/>
      </rPr>
      <t xml:space="preserve">
Have you seen leadership change how they make decisions because of an incident or near miss?
Do people feel the system gets better over time, or do the same issues keep coming back?
</t>
    </r>
    <r>
      <rPr>
        <b/>
        <sz val="14"/>
        <rFont val="Arial"/>
        <family val="2"/>
      </rPr>
      <t>Engagement with learning</t>
    </r>
    <r>
      <rPr>
        <sz val="14"/>
        <rFont val="Arial"/>
        <family val="2"/>
      </rPr>
      <t xml:space="preserve">
Are people encouraged to share near misses or lessons from everyday work?
Do you feel your experience on the ground actually influences how the system is designed or governed?</t>
    </r>
  </si>
  <si>
    <r>
      <t>Clear articulation of safety intent</t>
    </r>
    <r>
      <rPr>
        <sz val="14"/>
        <rFont val="Arial"/>
        <family val="2"/>
      </rPr>
      <t xml:space="preserve">
A documented leadership safety intent, vision, or statement that is more than generic “safety first” language.
Evidence that this intent has been discussed and refined by leadership, not simply copied from another organisation.
Records of leadership conversations about what “good safety” actually means for this business.
</t>
    </r>
    <r>
      <rPr>
        <b/>
        <sz val="14"/>
        <rFont val="Arial"/>
        <family val="2"/>
      </rPr>
      <t>Translation into roles and decision-making</t>
    </r>
    <r>
      <rPr>
        <sz val="14"/>
        <rFont val="Arial"/>
        <family val="2"/>
      </rPr>
      <t xml:space="preserve">
Role descriptions, KPIs, or performance expectations that explicitly reference safety leadership behaviours, not just compliance.
Evidence that safety intent is considered in planning documents, risk assessments, or project decisions.
Examples where leadership intent has influenced a real operational decision, especially where cost or schedule was impacted.
</t>
    </r>
    <r>
      <rPr>
        <b/>
        <sz val="14"/>
        <rFont val="Arial"/>
        <family val="2"/>
      </rPr>
      <t>Leadership alignment mechanisms</t>
    </r>
    <r>
      <rPr>
        <sz val="14"/>
        <rFont val="Arial"/>
        <family val="2"/>
      </rPr>
      <t xml:space="preserve">
Leadership forums or routines where safety intent is discussed, aligned, or reinforced.
Evidence of consistent messaging across leadership layers, such as common talking points, shared priorities, or aligned strategies.
Induction or onboarding materials that explain leadership expectations around safety.
</t>
    </r>
    <r>
      <rPr>
        <b/>
        <sz val="14"/>
        <rFont val="Arial"/>
        <family val="2"/>
      </rPr>
      <t>Mechanisms to check alignment between words and actions</t>
    </r>
    <r>
      <rPr>
        <sz val="14"/>
        <rFont val="Arial"/>
        <family val="2"/>
      </rPr>
      <t xml:space="preserve">
Site walk programs, leader field engagement plans, or structured safety interactions.
Feedback mechanisms where workers can comment on leadership behaviours.
Evidence that leadership behaviour is reviewed or reflected upon, not just performance metrics.</t>
    </r>
  </si>
  <si>
    <r>
      <rPr>
        <b/>
        <sz val="14"/>
        <rFont val="Arial"/>
        <family val="2"/>
      </rPr>
      <t>What is displayed on walls</t>
    </r>
    <r>
      <rPr>
        <sz val="14"/>
        <rFont val="Arial"/>
        <family val="2"/>
      </rPr>
      <t xml:space="preserve">
Are safety posters generic, or do they reflect the organisation’s specific risks and priorities?
Do leadership messages feel authentic or corporate and disconnected?
Are operational priorities (production, cost, schedule) more visually dominant than safety messaging?
</t>
    </r>
    <r>
      <rPr>
        <b/>
        <sz val="14"/>
        <rFont val="Arial"/>
        <family val="2"/>
      </rPr>
      <t>What leaders talk about when they are unscripted</t>
    </r>
    <r>
      <rPr>
        <sz val="14"/>
        <rFont val="Arial"/>
        <family val="2"/>
      </rPr>
      <t xml:space="preserve">
In casual conversations, do leaders naturally reference safety, risk, or lessons learned?
Or do they default to schedule, output, and performance only?
</t>
    </r>
    <r>
      <rPr>
        <b/>
        <sz val="14"/>
        <rFont val="Arial"/>
        <family val="2"/>
      </rPr>
      <t>What gets celebrated or recognised</t>
    </r>
    <r>
      <rPr>
        <sz val="14"/>
        <rFont val="Arial"/>
        <family val="2"/>
      </rPr>
      <t xml:space="preserve">
Are people recognised for raising concerns, stopping work, or preventing incidents?
Or is recognition mostly for productivity, efficiency, or meeting targets?
</t>
    </r>
    <r>
      <rPr>
        <b/>
        <sz val="14"/>
        <rFont val="Arial"/>
        <family val="2"/>
      </rPr>
      <t>During site walks or meetings</t>
    </r>
    <r>
      <rPr>
        <sz val="14"/>
        <rFont val="Arial"/>
        <family val="2"/>
      </rPr>
      <t xml:space="preserve">
Do leaders ask thoughtful questions about risk, controls, and decision-making?
Do they genuinely listen, or do they lecture and move on?
Do they challenge unsafe conditions, or walk past them?
</t>
    </r>
    <r>
      <rPr>
        <b/>
        <sz val="14"/>
        <rFont val="Arial"/>
        <family val="2"/>
      </rPr>
      <t>Under pressure or time constraints</t>
    </r>
    <r>
      <rPr>
        <sz val="14"/>
        <rFont val="Arial"/>
        <family val="2"/>
      </rPr>
      <t xml:space="preserve">
When schedules are tight, do leaders still prioritise safety conversations?
Do they visibly support slowing down or stopping work if risks are unclear?
</t>
    </r>
    <r>
      <rPr>
        <b/>
        <sz val="14"/>
        <rFont val="Arial"/>
        <family val="2"/>
      </rPr>
      <t xml:space="preserve">Across different leadership levels
</t>
    </r>
    <r>
      <rPr>
        <sz val="14"/>
        <rFont val="Arial"/>
        <family val="2"/>
      </rPr>
      <t xml:space="preserve">Do frontline supervisors, middle managers, and senior leaders describe safety in similar ways?
Or do you hear different interpretations depending on who you speak to?
</t>
    </r>
    <r>
      <rPr>
        <b/>
        <sz val="14"/>
        <rFont val="Arial"/>
        <family val="2"/>
      </rPr>
      <t>Alignment between words and actions</t>
    </r>
    <r>
      <rPr>
        <sz val="14"/>
        <rFont val="Arial"/>
        <family val="2"/>
      </rPr>
      <t xml:space="preserve">
If leaders say “safety is our priority,” do their decisions actually reflect that?
For example, do they allocate time, people, and resources to safety activities?</t>
    </r>
  </si>
  <si>
    <r>
      <rPr>
        <b/>
        <sz val="14"/>
        <rFont val="Arial"/>
        <family val="2"/>
      </rPr>
      <t>Formal accountability mechanisms</t>
    </r>
    <r>
      <rPr>
        <sz val="14"/>
        <rFont val="Arial"/>
        <family val="2"/>
      </rPr>
      <t xml:space="preserve">
Leadership performance frameworks that include safety leadership behaviours, not just incident statistics.
Evidence that leaders are assessed on critical control health, quality of investigations, effectiveness of corrective actions, and engagement with frontline workers.
Clear documentation showing how safety outcomes influence performance reviews, bonuses, or development plans.
</t>
    </r>
    <r>
      <rPr>
        <b/>
        <sz val="14"/>
        <rFont val="Arial"/>
        <family val="2"/>
      </rPr>
      <t>Ownership of system performance</t>
    </r>
    <r>
      <rPr>
        <sz val="14"/>
        <rFont val="Arial"/>
        <family val="2"/>
      </rPr>
      <t xml:space="preserve">
Dashboards or reports that track system health rather than only injuries, such as control verification, audit trends, and near-miss learning.
Regular leadership reviews that focus on whether controls are effective, not just whether incidents occurred.
Named leaders with clear accountability for specific high-risk controls or major risk areas.
</t>
    </r>
    <r>
      <rPr>
        <b/>
        <sz val="14"/>
        <rFont val="Arial"/>
        <family val="2"/>
      </rPr>
      <t>Leadership response to incidents, risk, and system failures</t>
    </r>
    <r>
      <rPr>
        <sz val="14"/>
        <rFont val="Arial"/>
        <family val="2"/>
      </rPr>
      <t xml:space="preserve">
Records showing that after significant events, leadership examined decision-making, governance, resourcing, and capability — not only frontline behaviour.
Evidence that systemic contributors are identified and addressed in investigation outputs.
Documented leadership actions following major incidents that go beyond procedural updates.
</t>
    </r>
    <r>
      <rPr>
        <b/>
        <sz val="14"/>
        <rFont val="Arial"/>
        <family val="2"/>
      </rPr>
      <t>Consistency and fairness in accountability</t>
    </r>
    <r>
      <rPr>
        <sz val="14"/>
        <rFont val="Arial"/>
        <family val="2"/>
      </rPr>
      <t xml:space="preserve">
Clear differentiation between honest error, system failure, and reckless behaviour in investigation outcomes.
Evidence that accountability is applied consistently across leadership layers, not only to frontline workers.
Investigation reports and reviews that emphasise learning and system improvement rather than blame.</t>
    </r>
  </si>
  <si>
    <r>
      <rPr>
        <b/>
        <sz val="14"/>
        <rFont val="Arial"/>
        <family val="2"/>
      </rPr>
      <t>What is discussed in leadership meetings</t>
    </r>
    <r>
      <rPr>
        <sz val="14"/>
        <rFont val="Arial"/>
        <family val="2"/>
      </rPr>
      <t xml:space="preserve">
Are meetings dominated by injury numbers, or do leaders actively discuss risk, controls, and system performance?
Do leaders ask questions like “what does this tell us about our system” rather than “who was responsible”?
</t>
    </r>
    <r>
      <rPr>
        <b/>
        <sz val="14"/>
        <rFont val="Arial"/>
        <family val="2"/>
      </rPr>
      <t>What is visible after incidents</t>
    </r>
    <r>
      <rPr>
        <sz val="14"/>
        <rFont val="Arial"/>
        <family val="2"/>
      </rPr>
      <t xml:space="preserve">
Do you see tangible changes to governance, decision rules, or resourcing, or mainly updated paperwork and reminders?
Are leadership behaviours or decisions visibly adjusted following serious events?
</t>
    </r>
    <r>
      <rPr>
        <b/>
        <sz val="14"/>
        <rFont val="Arial"/>
        <family val="2"/>
      </rPr>
      <t>How accountability is framed in language</t>
    </r>
    <r>
      <rPr>
        <sz val="14"/>
        <rFont val="Arial"/>
        <family val="2"/>
      </rPr>
      <t xml:space="preserve">
Do leaders talk about “our system failed” rather than “they made a mistake”?
Is learning and improvement the dominant tone, or is there a subtle search for someone to blame?
</t>
    </r>
    <r>
      <rPr>
        <b/>
        <sz val="14"/>
        <rFont val="Arial"/>
        <family val="2"/>
      </rPr>
      <t>When things go wrong</t>
    </r>
    <r>
      <rPr>
        <sz val="14"/>
        <rFont val="Arial"/>
        <family val="2"/>
      </rPr>
      <t xml:space="preserve">
Do leaders visibly take responsibility, or do they distance themselves from the issue?
Are they curious and reflective, or defensive and reactive?
</t>
    </r>
    <r>
      <rPr>
        <b/>
        <sz val="14"/>
        <rFont val="Arial"/>
        <family val="2"/>
      </rPr>
      <t>In discussions about risk and controls</t>
    </r>
    <r>
      <rPr>
        <sz val="14"/>
        <rFont val="Arial"/>
        <family val="2"/>
      </rPr>
      <t xml:space="preserve">
Do leaders actively seek evidence that critical controls are working in practice?
Or do they assume everything is fine because there were no injuries?
</t>
    </r>
    <r>
      <rPr>
        <b/>
        <sz val="14"/>
        <rFont val="Arial"/>
        <family val="2"/>
      </rPr>
      <t>Across leadership layers</t>
    </r>
    <r>
      <rPr>
        <sz val="14"/>
        <rFont val="Arial"/>
        <family val="2"/>
      </rPr>
      <t xml:space="preserve">
Do senior leaders hold middle managers accountable for safety leadership, not just delivery of work?
Do middle managers feel supported to address system issues, or pressured to “make problems go away”?
</t>
    </r>
    <r>
      <rPr>
        <b/>
        <sz val="14"/>
        <rFont val="Arial"/>
        <family val="2"/>
      </rPr>
      <t>In everyday decision-making</t>
    </r>
    <r>
      <rPr>
        <sz val="14"/>
        <rFont val="Arial"/>
        <family val="2"/>
      </rPr>
      <t xml:space="preserve">
Do leaders allocate time, people, and budget to safety activities before incidents occur?
Or does meaningful investment in safety only happen after something goes wrong?</t>
    </r>
  </si>
  <si>
    <r>
      <rPr>
        <b/>
        <sz val="14"/>
        <rFont val="Arial"/>
        <family val="2"/>
      </rPr>
      <t>Clear articulation of decision rights</t>
    </r>
    <r>
      <rPr>
        <sz val="14"/>
        <rFont val="Arial"/>
        <family val="2"/>
      </rPr>
      <t xml:space="preserve">
A documented decision-rights framework that defines who can approve, escalate, pause, or stop high-risk work.
Clear thresholds that trigger escalation, additional review, or mandatory leadership involvement.
Defined stop-work authority that applies to all workers, supervisors, and contractors.
</t>
    </r>
    <r>
      <rPr>
        <b/>
        <sz val="14"/>
        <rFont val="Arial"/>
        <family val="2"/>
      </rPr>
      <t>Consistent application of decision rules</t>
    </r>
    <r>
      <rPr>
        <sz val="14"/>
        <rFont val="Arial"/>
        <family val="2"/>
      </rPr>
      <t xml:space="preserve">
Standard criteria or decision rules that are applied across teams, sites, and shifts.
Evidence that contractors are explicitly included in decision-rights arrangements.
Records showing when and why decisions were escalated or stopped.
</t>
    </r>
    <r>
      <rPr>
        <b/>
        <sz val="14"/>
        <rFont val="Arial"/>
        <family val="2"/>
      </rPr>
      <t>Alignment between documented decision rights and real decisions</t>
    </r>
    <r>
      <rPr>
        <sz val="14"/>
        <rFont val="Arial"/>
        <family val="2"/>
      </rPr>
      <t xml:space="preserve">
Mechanisms that check whether field decisions align with documented processes, such as audits, reviews, or case studies.
A clear way to document and review deviations from formal decision rules.
Evidence that learnings from deviations are used to refine the decision framework.
</t>
    </r>
    <r>
      <rPr>
        <b/>
        <sz val="14"/>
        <rFont val="Arial"/>
        <family val="2"/>
      </rPr>
      <t>Functionality under pressure</t>
    </r>
    <r>
      <rPr>
        <sz val="14"/>
        <rFont val="Arial"/>
        <family val="2"/>
      </rPr>
      <t xml:space="preserve">
Pre-defined escalation pathways that operate under schedule, commercial, or operational pressure.
Mandatory escalation triggers for specific high-risk scenarios.
Post-event reviews that analyse whether escalation pathways worked as intended.</t>
    </r>
  </si>
  <si>
    <r>
      <rPr>
        <b/>
        <sz val="14"/>
        <color rgb="FF000000"/>
        <rFont val="Arial"/>
        <family val="2"/>
      </rPr>
      <t>How decision rights are visible in everyday work</t>
    </r>
    <r>
      <rPr>
        <sz val="14"/>
        <color rgb="FF000000"/>
        <rFont val="Arial"/>
        <family val="2"/>
      </rPr>
      <t xml:space="preserve">
Are decision-rights diagrams, flowcharts, or escalation maps visibly displayed and actually referenced?
Do people on the frontline recognise these artefacts, or are they purely “head office documents”?
</t>
    </r>
    <r>
      <rPr>
        <b/>
        <sz val="14"/>
        <color rgb="FF000000"/>
        <rFont val="Arial"/>
        <family val="2"/>
      </rPr>
      <t>Use of stop-work in practice</t>
    </r>
    <r>
      <rPr>
        <sz val="14"/>
        <color rgb="FF000000"/>
        <rFont val="Arial"/>
        <family val="2"/>
      </rPr>
      <t xml:space="preserve">
Do you see examples where work has genuinely been stopped due to safety concerns?
Is stopping work treated as a failure, a nuisance, or a professional decision?
</t>
    </r>
    <r>
      <rPr>
        <b/>
        <sz val="14"/>
        <color rgb="FF000000"/>
        <rFont val="Arial"/>
        <family val="2"/>
      </rPr>
      <t>Behaviour under pressure</t>
    </r>
    <r>
      <rPr>
        <sz val="14"/>
        <color rgb="FF000000"/>
        <rFont val="Arial"/>
        <family val="2"/>
      </rPr>
      <t xml:space="preserve">
When deadlines are tight, do leaders and supervisors still pause, consult, or escalate?
Or do decisions get pushed down, rushed, or informally “worked around”?
</t>
    </r>
    <r>
      <rPr>
        <b/>
        <sz val="14"/>
        <color rgb="FF000000"/>
        <rFont val="Arial"/>
        <family val="2"/>
      </rPr>
      <t>Who actually makes decisions</t>
    </r>
    <r>
      <rPr>
        <sz val="14"/>
        <color rgb="FF000000"/>
        <rFont val="Arial"/>
        <family val="2"/>
      </rPr>
      <t xml:space="preserve">
Do decisions follow formal lines of authority, or do relationships and hierarchy override them?
Are the same people consistently pulled into high-risk decisions, or does it vary?
</t>
    </r>
    <r>
      <rPr>
        <b/>
        <sz val="14"/>
        <color rgb="FF000000"/>
        <rFont val="Arial"/>
        <family val="2"/>
      </rPr>
      <t>Consistency across teams and sites</t>
    </r>
    <r>
      <rPr>
        <sz val="14"/>
        <color rgb="FF000000"/>
        <rFont val="Arial"/>
        <family val="2"/>
      </rPr>
      <t xml:space="preserve">
Do different crews describe decision rights in similar ways?
Or does every team seem to operate by its own unwritten rules?
</t>
    </r>
    <r>
      <rPr>
        <b/>
        <sz val="14"/>
        <color rgb="FF000000"/>
        <rFont val="Arial"/>
        <family val="2"/>
      </rPr>
      <t>Confidence and clarity in the field</t>
    </r>
    <r>
      <rPr>
        <sz val="14"/>
        <color rgb="FF000000"/>
        <rFont val="Arial"/>
        <family val="2"/>
      </rPr>
      <t xml:space="preserve">
Do workers and supervisors appear confident about who has the final say?
Or do you hear hesitation, confusion, or statements like “it depends who’s on shift”?
</t>
    </r>
    <r>
      <rPr>
        <b/>
        <sz val="14"/>
        <color rgb="FF000000"/>
        <rFont val="Arial"/>
        <family val="2"/>
      </rPr>
      <t>Reaction to escalation</t>
    </r>
    <r>
      <rPr>
        <sz val="14"/>
        <color rgb="FF000000"/>
        <rFont val="Arial"/>
        <family val="2"/>
      </rPr>
      <t xml:space="preserve">
When someone escalates, do leaders respond promptly and constructively?
Or do people appear reluctant to escalate because it causes friction or delays?</t>
    </r>
  </si>
  <si>
    <r>
      <rPr>
        <b/>
        <sz val="14"/>
        <rFont val="Arial"/>
        <family val="2"/>
      </rPr>
      <t>Clear governance structure and roles</t>
    </r>
    <r>
      <rPr>
        <sz val="14"/>
        <rFont val="Arial"/>
        <family val="2"/>
      </rPr>
      <t xml:space="preserve">
A documented governance structure that clearly shows safety forums, committees, and accountabilities.
Defined purpose, membership, and decision authority for each forum.
Regular meeting cadence that aligns with risk and operational tempo.
</t>
    </r>
    <r>
      <rPr>
        <b/>
        <sz val="14"/>
        <rFont val="Arial"/>
        <family val="2"/>
      </rPr>
      <t>Purposeful safety meetings</t>
    </r>
    <r>
      <rPr>
        <sz val="14"/>
        <rFont val="Arial"/>
        <family val="2"/>
      </rPr>
      <t xml:space="preserve">
Agendas that prioritise high-risk issues, critical controls, and systemic trends rather than only incident counts.
Evidence that meetings are used to make real decisions, not just report information.
Clear records of discussions, decisions, and rationale.
</t>
    </r>
    <r>
      <rPr>
        <b/>
        <sz val="14"/>
        <rFont val="Arial"/>
        <family val="2"/>
      </rPr>
      <t xml:space="preserve">Decision-making and follow-through
</t>
    </r>
    <r>
      <rPr>
        <sz val="14"/>
        <rFont val="Arial"/>
        <family val="2"/>
      </rPr>
      <t xml:space="preserve">Formal mechanisms for assigning, tracking, and closing actions.
Evidence that actions are reviewed for effectiveness, not just completion.
A clear link between governance decisions and changes in operations, controls, or resources.
</t>
    </r>
    <r>
      <rPr>
        <b/>
        <sz val="14"/>
        <rFont val="Arial"/>
        <family val="2"/>
      </rPr>
      <t>Frontline to leadership information flow</t>
    </r>
    <r>
      <rPr>
        <sz val="14"/>
        <rFont val="Arial"/>
        <family val="2"/>
      </rPr>
      <t xml:space="preserve">
Formal pathways for frontline concerns, insights, and learning to reach leadership forums.
Mechanisms for leaders to communicate outcomes and decisions back to the workforce.
Evidence that feedback loops operate in both directions, not just top-down.</t>
    </r>
  </si>
  <si>
    <r>
      <rPr>
        <b/>
        <sz val="14"/>
        <color theme="1"/>
        <rFont val="Arial"/>
        <family val="2"/>
      </rPr>
      <t>What is visible in governance artefacts</t>
    </r>
    <r>
      <rPr>
        <sz val="14"/>
        <color theme="1"/>
        <rFont val="Arial"/>
        <family val="2"/>
      </rPr>
      <t xml:space="preserve">
Do minutes clearly show risk-based discussions and decisions, or mostly slide decks and metrics?
Are actions specific, owned, and time-bound, or vague and recycled from previous meetings?
</t>
    </r>
    <r>
      <rPr>
        <b/>
        <sz val="14"/>
        <color theme="1"/>
        <rFont val="Arial"/>
        <family val="2"/>
      </rPr>
      <t>Tone and quality of meetings</t>
    </r>
    <r>
      <rPr>
        <sz val="14"/>
        <color theme="1"/>
        <rFont val="Arial"/>
        <family val="2"/>
      </rPr>
      <t xml:space="preserve">
Do meetings feel purposeful, or like a box-ticking exercise?
Are difficult or uncomfortable safety topics openly discussed, or subtly avoided?
</t>
    </r>
    <r>
      <rPr>
        <b/>
        <sz val="14"/>
        <color theme="1"/>
        <rFont val="Arial"/>
        <family val="2"/>
      </rPr>
      <t xml:space="preserve">
How decisions are experienced
</t>
    </r>
    <r>
      <rPr>
        <sz val="14"/>
        <color theme="1"/>
        <rFont val="Arial"/>
        <family val="2"/>
      </rPr>
      <t xml:space="preserve">When decisions are made in governance forums, do they actually change what happens in the field?
Or do frontline teams experience little difference after major reviews?
</t>
    </r>
    <r>
      <rPr>
        <b/>
        <sz val="14"/>
        <color theme="1"/>
        <rFont val="Arial"/>
        <family val="2"/>
      </rPr>
      <t>Action fatigue or action impact</t>
    </r>
    <r>
      <rPr>
        <sz val="14"/>
        <color theme="1"/>
        <rFont val="Arial"/>
        <family val="2"/>
      </rPr>
      <t xml:space="preserve">
Do you see repeated actions about the same issues without real change?
Or do actions lead to visible improvements in controls, resources, or practices?
</t>
    </r>
    <r>
      <rPr>
        <b/>
        <sz val="14"/>
        <color theme="1"/>
        <rFont val="Arial"/>
        <family val="2"/>
      </rPr>
      <t>Connection between frontline and leadership</t>
    </r>
    <r>
      <rPr>
        <sz val="14"/>
        <color theme="1"/>
        <rFont val="Arial"/>
        <family val="2"/>
      </rPr>
      <t xml:space="preserve">
Do workers feel their concerns reach leadership in a meaningful way?
Do leaders reference real frontline issues in their discussions, or only high-level reports?
</t>
    </r>
    <r>
      <rPr>
        <b/>
        <sz val="14"/>
        <color theme="1"/>
        <rFont val="Arial"/>
        <family val="2"/>
      </rPr>
      <t>Leadership engagement with governance</t>
    </r>
    <r>
      <rPr>
        <sz val="14"/>
        <color theme="1"/>
        <rFont val="Arial"/>
        <family val="2"/>
      </rPr>
      <t xml:space="preserve">
Do senior leaders actively participate, ask questions, and challenge assumptions?
Or do they attend but remain largely passive?
</t>
    </r>
    <r>
      <rPr>
        <b/>
        <sz val="14"/>
        <color theme="1"/>
        <rFont val="Arial"/>
        <family val="2"/>
      </rPr>
      <t>Transparency and trust</t>
    </r>
    <r>
      <rPr>
        <sz val="14"/>
        <color theme="1"/>
        <rFont val="Arial"/>
        <family val="2"/>
      </rPr>
      <t xml:space="preserve">
Are governance decisions communicated clearly and honestly to the workforce?
Do people feel decisions are made fairly and based on risk, not politics or convenience?</t>
    </r>
  </si>
  <si>
    <r>
      <rPr>
        <b/>
        <sz val="14"/>
        <rFont val="Arial"/>
        <family val="2"/>
      </rPr>
      <t>Currency and relevance of the legal register</t>
    </r>
    <r>
      <rPr>
        <sz val="14"/>
        <rFont val="Arial"/>
        <family val="2"/>
      </rPr>
      <t xml:space="preserve">
A current legal register that clearly relates to the organisation’s actual activities, plant, and risks rather than a generic list of legislation.
Clear ownership for maintaining the register, with defined review cycles and triggers for updates.
Evidence that the register has been actively curated, not just periodically refreshed.
</t>
    </r>
    <r>
      <rPr>
        <b/>
        <sz val="14"/>
        <rFont val="Arial"/>
        <family val="2"/>
      </rPr>
      <t>Mapping legal duties to controls and roles</t>
    </r>
    <r>
      <rPr>
        <sz val="14"/>
        <rFont val="Arial"/>
        <family val="2"/>
      </rPr>
      <t xml:space="preserve">
Clear line-of-sight from specific legal duties to critical controls, procedures, and accountable roles.
Role descriptions or accountability documents that explicitly reference key legal obligations.
Mechanisms that show how legal duties are considered when designing or modifying controls.
</t>
    </r>
    <r>
      <rPr>
        <b/>
        <sz val="14"/>
        <rFont val="Arial"/>
        <family val="2"/>
      </rPr>
      <t>Use of legal requirements in risk assessments and procedures</t>
    </r>
    <r>
      <rPr>
        <sz val="14"/>
        <rFont val="Arial"/>
        <family val="2"/>
      </rPr>
      <t xml:space="preserve">
Risk assessments, SWMS, or work plans that explicitly reference relevant legal requirements where they are material to the risk.
Procedures that translate legal duties into practical, operational steps rather than copying legislative text.
Evidence that legal considerations influence how work is actually planned and authorised.
</t>
    </r>
    <r>
      <rPr>
        <b/>
        <sz val="14"/>
        <rFont val="Arial"/>
        <family val="2"/>
      </rPr>
      <t xml:space="preserve">Systematic updates when laws change
</t>
    </r>
    <r>
      <rPr>
        <sz val="14"/>
        <rFont val="Arial"/>
        <family val="2"/>
      </rPr>
      <t>A defined process for identifying changes in legislation or standards and assessing their impact.
Documented reviews showing which controls, procedures, or roles were updated as a result.
Verification activities that confirm changes were implemented in practice, not only on paper.</t>
    </r>
  </si>
  <si>
    <r>
      <rPr>
        <b/>
        <sz val="14"/>
        <color rgb="FF000000"/>
        <rFont val="Arial"/>
        <family val="2"/>
      </rPr>
      <t>How legal duties are talked about</t>
    </r>
    <r>
      <rPr>
        <sz val="14"/>
        <color rgb="FF000000"/>
        <rFont val="Arial"/>
        <family val="2"/>
      </rPr>
      <t xml:space="preserve">
Do leaders and supervisors describe legal duties as practical guidance or as “paperwork for HSE”?
Is there a shared language that links legal duties to real risks and controls?
</t>
    </r>
    <r>
      <rPr>
        <b/>
        <sz val="14"/>
        <color rgb="FF000000"/>
        <rFont val="Arial"/>
        <family val="2"/>
      </rPr>
      <t>Visibility of legal influence in documents</t>
    </r>
    <r>
      <rPr>
        <sz val="14"/>
        <color rgb="FF000000"/>
        <rFont val="Arial"/>
        <family val="2"/>
      </rPr>
      <t xml:space="preserve">
When reviewing procedures or risk assessments, do legal references feel purposeful or pasted in?
Are legal duties clearly connected to why certain controls exist?
</t>
    </r>
    <r>
      <rPr>
        <b/>
        <sz val="14"/>
        <color rgb="FF000000"/>
        <rFont val="Arial"/>
        <family val="2"/>
      </rPr>
      <t>Ownership and clarity in the field</t>
    </r>
    <r>
      <rPr>
        <sz val="14"/>
        <color rgb="FF000000"/>
        <rFont val="Arial"/>
        <family val="2"/>
      </rPr>
      <t xml:space="preserve">
Do supervisors appear confident about their key legal accountabilities, or do they defer to HSE?
Do workers understand the “why” behind legally driven controls, or do they just follow rules?
</t>
    </r>
    <r>
      <rPr>
        <b/>
        <sz val="14"/>
        <color rgb="FF000000"/>
        <rFont val="Arial"/>
        <family val="2"/>
      </rPr>
      <t>Response to legal change</t>
    </r>
    <r>
      <rPr>
        <sz val="14"/>
        <color rgb="FF000000"/>
        <rFont val="Arial"/>
        <family val="2"/>
      </rPr>
      <t xml:space="preserve">
When laws or standards change, do you see visible updates in procedures, training, or controls?
Or do changes appear slow, reactive, or superficial?
</t>
    </r>
    <r>
      <rPr>
        <b/>
        <sz val="14"/>
        <color rgb="FF000000"/>
        <rFont val="Arial"/>
        <family val="2"/>
      </rPr>
      <t>Alignment between words and reality</t>
    </r>
    <r>
      <rPr>
        <sz val="14"/>
        <color rgb="FF000000"/>
        <rFont val="Arial"/>
        <family val="2"/>
      </rPr>
      <t xml:space="preserve">
If leaders say “we are legally compliant,” do field practices actually reflect that?
Are there examples where legal obligations shaped real operational decisions, especially under pressure?
</t>
    </r>
    <r>
      <rPr>
        <b/>
        <sz val="14"/>
        <color rgb="FF000000"/>
        <rFont val="Arial"/>
        <family val="2"/>
      </rPr>
      <t>Depth versus surface compliance</t>
    </r>
    <r>
      <rPr>
        <sz val="14"/>
        <color rgb="FF000000"/>
        <rFont val="Arial"/>
        <family val="2"/>
      </rPr>
      <t xml:space="preserve">
Do you see evidence of thoughtful interpretation of legal duties, or mainly cut-and-paste compliance?
Are legal requirements used to strengthen risk management, or treated as a minimum hurdle?</t>
    </r>
  </si>
  <si>
    <r>
      <rPr>
        <b/>
        <sz val="14"/>
        <color rgb="FF000000"/>
        <rFont val="Arial"/>
        <family val="2"/>
      </rPr>
      <t>Existence and clarity of risk appetite</t>
    </r>
    <r>
      <rPr>
        <sz val="14"/>
        <color rgb="FF000000"/>
        <rFont val="Arial"/>
        <family val="2"/>
      </rPr>
      <t xml:space="preserve">
A documented risk appetite statement that is specific, operational, and relevant to the organisation’s high-risk activities.
Clear definitions of what risks are acceptable, tolerable, and unacceptable.
Regular review records showing that risk appetite is actively maintained rather than static.
</t>
    </r>
    <r>
      <rPr>
        <b/>
        <sz val="14"/>
        <color rgb="FF000000"/>
        <rFont val="Arial"/>
        <family val="2"/>
      </rPr>
      <t>Application of risk boundaries in decisions</t>
    </r>
    <r>
      <rPr>
        <sz val="14"/>
        <color rgb="FF000000"/>
        <rFont val="Arial"/>
        <family val="2"/>
      </rPr>
      <t xml:space="preserve">
Defined thresholds that trigger escalation, additional controls, or leadership approval.
Evidence that risk appetite is referenced in planning, permits, and high-risk work decisions.
Mechanisms to promote consistency in how risk boundaries are applied across teams or sites.
</t>
    </r>
    <r>
      <rPr>
        <b/>
        <sz val="14"/>
        <color rgb="FF000000"/>
        <rFont val="Arial"/>
        <family val="2"/>
      </rPr>
      <t xml:space="preserve">Alignment with approvals and planning
</t>
    </r>
    <r>
      <rPr>
        <sz val="14"/>
        <color rgb="FF000000"/>
        <rFont val="Arial"/>
        <family val="2"/>
      </rPr>
      <t xml:space="preserve">Approval processes that explicitly reflect the stated risk appetite.
Clear links between risk appetite, project planning, and resource allocation.
Documented examples where risk boundaries influenced scope, sequencing, or control selection.
</t>
    </r>
    <r>
      <rPr>
        <b/>
        <sz val="14"/>
        <color rgb="FF000000"/>
        <rFont val="Arial"/>
        <family val="2"/>
      </rPr>
      <t>Leadership intervention near boundaries</t>
    </r>
    <r>
      <rPr>
        <sz val="14"/>
        <color rgb="FF000000"/>
        <rFont val="Arial"/>
        <family val="2"/>
      </rPr>
      <t xml:space="preserve">
Defined triggers that require leadership involvement when risk approaches agreed limits.
Records showing leadership engagement in high-risk or boundary cases.
Post-event reviews that assess whether interventions were timely and effective.</t>
    </r>
  </si>
  <si>
    <r>
      <rPr>
        <b/>
        <sz val="14"/>
        <rFont val="Arial"/>
        <family val="2"/>
      </rPr>
      <t>How risk appetite is described in everyday language</t>
    </r>
    <r>
      <rPr>
        <sz val="14"/>
        <rFont val="Arial"/>
        <family val="2"/>
      </rPr>
      <t xml:space="preserve">
Do leaders and supervisors talk about risk boundaries in similar, practical terms?
Or do descriptions vary widely depending on who you speak to?
</t>
    </r>
    <r>
      <rPr>
        <b/>
        <sz val="14"/>
        <rFont val="Arial"/>
        <family val="2"/>
      </rPr>
      <t>Visibility of risk boundaries in work</t>
    </r>
    <r>
      <rPr>
        <sz val="14"/>
        <rFont val="Arial"/>
        <family val="2"/>
      </rPr>
      <t xml:space="preserve">
Are risk thresholds clearly understood by frontline teams, or do they feel abstract?
Do workers know when a situation should be escalated versus handled locally?
</t>
    </r>
    <r>
      <rPr>
        <b/>
        <sz val="14"/>
        <rFont val="Arial"/>
        <family val="2"/>
      </rPr>
      <t>Consistency across teams and sites</t>
    </r>
    <r>
      <rPr>
        <sz val="14"/>
        <rFont val="Arial"/>
        <family val="2"/>
      </rPr>
      <t xml:space="preserve">
Do similar risks get treated in similar ways across different crews or projects?
Or does the approach depend more on the leader, location, or schedule?
</t>
    </r>
    <r>
      <rPr>
        <b/>
        <sz val="14"/>
        <rFont val="Arial"/>
        <family val="2"/>
      </rPr>
      <t>Behaviour near risk boundaries</t>
    </r>
    <r>
      <rPr>
        <sz val="14"/>
        <rFont val="Arial"/>
        <family val="2"/>
      </rPr>
      <t xml:space="preserve">
When work approaches the edge of tolerance, do leaders step in early or only after issues arise?
Do teams feel supported when they slow down or stop work due to risk concerns?
</t>
    </r>
    <r>
      <rPr>
        <b/>
        <sz val="14"/>
        <rFont val="Arial"/>
        <family val="2"/>
      </rPr>
      <t>Pressure versus principle</t>
    </r>
    <r>
      <rPr>
        <sz val="14"/>
        <rFont val="Arial"/>
        <family val="2"/>
      </rPr>
      <t xml:space="preserve">
Under commercial or schedule pressure, do decisions still respect risk boundaries?
Or do you see informal “workarounds” that quietly erode the stated risk appetite?
</t>
    </r>
    <r>
      <rPr>
        <b/>
        <sz val="14"/>
        <rFont val="Arial"/>
        <family val="2"/>
      </rPr>
      <t>Alignment between documents and reality</t>
    </r>
    <r>
      <rPr>
        <sz val="14"/>
        <rFont val="Arial"/>
        <family val="2"/>
      </rPr>
      <t xml:space="preserve">
Does what is written in the risk appetite statement match how decisions are actually made?
Are there examples where stated boundaries were genuinely tested and upheld?
</t>
    </r>
    <r>
      <rPr>
        <b/>
        <sz val="14"/>
        <rFont val="Arial"/>
        <family val="2"/>
      </rPr>
      <t>Learning from boundary cases</t>
    </r>
    <r>
      <rPr>
        <sz val="14"/>
        <rFont val="Arial"/>
        <family val="2"/>
      </rPr>
      <t xml:space="preserve">
When risks were close to limits, did the organisation adjust decision rules or controls?
Or did the same situations reoccur without meaningful change?</t>
    </r>
  </si>
  <si>
    <r>
      <rPr>
        <b/>
        <sz val="14"/>
        <rFont val="Arial"/>
        <family val="2"/>
      </rPr>
      <t>Clarity and accessibility of escalation routes</t>
    </r>
    <r>
      <rPr>
        <sz val="14"/>
        <rFont val="Arial"/>
        <family val="2"/>
      </rPr>
      <t xml:space="preserve">
Clearly documented speak-up and escalation pathways that are simple, visible, and available to employees and contractors.
Multiple options for raising concerns, including formal and informal routes.
Evidence that pathways are explained during induction, onboarding, and refresher training.
</t>
    </r>
    <r>
      <rPr>
        <b/>
        <sz val="14"/>
        <rFont val="Arial"/>
        <family val="2"/>
      </rPr>
      <t>Defined response timeframes and feedback loops</t>
    </r>
    <r>
      <rPr>
        <sz val="14"/>
        <rFont val="Arial"/>
        <family val="2"/>
      </rPr>
      <t xml:space="preserve">
Documented timeframes for acknowledging and responding to concerns.
A tracking system that records issues raised, actions taken, and status.
Mechanisms to provide feedback to the person who raised the issue, even when outcomes take time.
</t>
    </r>
    <r>
      <rPr>
        <b/>
        <sz val="14"/>
        <rFont val="Arial"/>
        <family val="2"/>
      </rPr>
      <t>Protection from retaliation</t>
    </r>
    <r>
      <rPr>
        <sz val="14"/>
        <rFont val="Arial"/>
        <family val="2"/>
      </rPr>
      <t xml:space="preserve">
Formal policies or procedures that explicitly prohibit retaliation for speaking up.
Clear processes for reporting and investigating retaliation.
Evidence that leaders are trained or guided on how to respond appropriately to concerns.
</t>
    </r>
    <r>
      <rPr>
        <b/>
        <sz val="14"/>
        <rFont val="Arial"/>
        <family val="2"/>
      </rPr>
      <t xml:space="preserve">
Evidence of action from issues raised
</t>
    </r>
    <r>
      <rPr>
        <sz val="14"/>
        <rFont val="Arial"/>
        <family val="2"/>
      </rPr>
      <t>Records showing that concerns have led to tangible changes in controls, processes, or behaviours.
Review processes that analyse recurring issues to identify systemic causes.
Visible communication back to the workforce about what changed because people spoke up.</t>
    </r>
  </si>
  <si>
    <r>
      <rPr>
        <b/>
        <sz val="14"/>
        <color rgb="FF000000"/>
        <rFont val="Arial"/>
        <family val="2"/>
      </rPr>
      <t>Visibility of speak-up in the environment</t>
    </r>
    <r>
      <rPr>
        <sz val="14"/>
        <color rgb="FF000000"/>
        <rFont val="Arial"/>
        <family val="2"/>
      </rPr>
      <t xml:space="preserve">
Are speak-up posters, contact details, or QR codes clearly displayed where people actually work?
Do they look current and used, or faded and ignored?
</t>
    </r>
    <r>
      <rPr>
        <b/>
        <sz val="14"/>
        <color rgb="FF000000"/>
        <rFont val="Arial"/>
        <family val="2"/>
      </rPr>
      <t>How people talk about escalation</t>
    </r>
    <r>
      <rPr>
        <sz val="14"/>
        <color rgb="FF000000"/>
        <rFont val="Arial"/>
        <family val="2"/>
      </rPr>
      <t xml:space="preserve">
Do workers describe speak-up as a normal part of work, or something you only use as a last resort?
Do people refer to formal channels, or mainly rely on personal relationships?
Experience of response and feedback
When someone raises an issue, do they feel kept in the loop, or left in the dark?
Do people cite examples where speaking up actually led to change?
</t>
    </r>
    <r>
      <rPr>
        <b/>
        <sz val="14"/>
        <color rgb="FF000000"/>
        <rFont val="Arial"/>
        <family val="2"/>
      </rPr>
      <t xml:space="preserve">
Fear or comfort in raising concerns
</t>
    </r>
    <r>
      <rPr>
        <sz val="14"/>
        <color rgb="FF000000"/>
        <rFont val="Arial"/>
        <family val="2"/>
      </rPr>
      <t xml:space="preserve">Do people appear relaxed discussing safety issues openly, or cautious about what they say?
Do you hear stories of retaliation, or reassurance that it would not happen?
</t>
    </r>
    <r>
      <rPr>
        <b/>
        <sz val="14"/>
        <color rgb="FF000000"/>
        <rFont val="Arial"/>
        <family val="2"/>
      </rPr>
      <t xml:space="preserve">Behaviour when concerns arise
</t>
    </r>
    <r>
      <rPr>
        <sz val="14"/>
        <color rgb="FF000000"/>
        <rFont val="Arial"/>
        <family val="2"/>
      </rPr>
      <t xml:space="preserve">When risks are raised, do leaders respond promptly and constructively?
Or do people appear reluctant to escalate because it causes tension, delay, or inconvenience?
</t>
    </r>
    <r>
      <rPr>
        <b/>
        <sz val="14"/>
        <color rgb="FF000000"/>
        <rFont val="Arial"/>
        <family val="2"/>
      </rPr>
      <t>Pattern of issues raised</t>
    </r>
    <r>
      <rPr>
        <sz val="14"/>
        <color rgb="FF000000"/>
        <rFont val="Arial"/>
        <family val="2"/>
      </rPr>
      <t xml:space="preserve">
Are concerns treated as isolated problems, or as signals of deeper system issues?
Do you see evidence that leadership actively seeks out issues rather than waiting for them to be reported?</t>
    </r>
  </si>
  <si>
    <r>
      <rPr>
        <b/>
        <sz val="14"/>
        <rFont val="Arial"/>
        <family val="2"/>
      </rPr>
      <t>Leadership behaviours that invite challenge</t>
    </r>
    <r>
      <rPr>
        <sz val="14"/>
        <rFont val="Arial"/>
        <family val="2"/>
      </rPr>
      <t xml:space="preserve">
Formal guidance or expectations for leaders to encourage questions, dissent, and bad news.
Structured forums or routines designed for open discussion and reflection rather than reporting only.
Training or development programs that support leaders to build psychological safety.
</t>
    </r>
    <r>
      <rPr>
        <b/>
        <sz val="14"/>
        <rFont val="Arial"/>
        <family val="2"/>
      </rPr>
      <t xml:space="preserve">
Quality of dialogue in meetings
</t>
    </r>
    <r>
      <rPr>
        <sz val="14"/>
        <rFont val="Arial"/>
        <family val="2"/>
      </rPr>
      <t xml:space="preserve">Agendas that include space for discussion of risks, uncertainties, and differing perspectives.
Evidence that difficult or uncomfortable topics are intentionally brought into the conversation.
Clear norms about respectful debate and constructive challenge.
</t>
    </r>
    <r>
      <rPr>
        <b/>
        <sz val="14"/>
        <rFont val="Arial"/>
        <family val="2"/>
      </rPr>
      <t>Absence of blame</t>
    </r>
    <r>
      <rPr>
        <sz val="14"/>
        <rFont val="Arial"/>
        <family val="2"/>
      </rPr>
      <t xml:space="preserve">
Investigation frameworks or policies that emphasise learning over punishment.
Clear distinction between honest error, system failure, and reckless behaviour.
Communication practices that avoid naming or shaming individuals in incident reviews.
</t>
    </r>
    <r>
      <rPr>
        <b/>
        <sz val="14"/>
        <rFont val="Arial"/>
        <family val="2"/>
      </rPr>
      <t>Valuing constructive dissent</t>
    </r>
    <r>
      <rPr>
        <sz val="14"/>
        <rFont val="Arial"/>
        <family val="2"/>
      </rPr>
      <t xml:space="preserve">
Examples where people who challenged decisions were thanked, supported, or recognised.
Mechanisms for capturing and considering alternative viewpoints before major decisions.
Leadership behaviours that visibly reward speaking up rather than penalising it.</t>
    </r>
  </si>
  <si>
    <r>
      <rPr>
        <b/>
        <sz val="14"/>
        <color rgb="FF000000"/>
        <rFont val="Arial"/>
        <family val="2"/>
      </rPr>
      <t>How safe it feels to speak</t>
    </r>
    <r>
      <rPr>
        <sz val="14"/>
        <color rgb="FF000000"/>
        <rFont val="Arial"/>
        <family val="2"/>
      </rPr>
      <t xml:space="preserve">
Do people appear comfortable raising concerns in front of their leader and peers?
Are there topics that feel “off limits” or sensitive?
</t>
    </r>
    <r>
      <rPr>
        <b/>
        <sz val="14"/>
        <color rgb="FF000000"/>
        <rFont val="Arial"/>
        <family val="2"/>
      </rPr>
      <t xml:space="preserve">Real conversations versus polite compliance
</t>
    </r>
    <r>
      <rPr>
        <sz val="14"/>
        <color rgb="FF000000"/>
        <rFont val="Arial"/>
        <family val="2"/>
      </rPr>
      <t xml:space="preserve">In meetings, do people speak honestly, or mainly agree with leaders?
When someone disagrees, is it handled constructively or shut down?
</t>
    </r>
    <r>
      <rPr>
        <b/>
        <sz val="14"/>
        <color rgb="FF000000"/>
        <rFont val="Arial"/>
        <family val="2"/>
      </rPr>
      <t>Leadership reactions to bad news</t>
    </r>
    <r>
      <rPr>
        <sz val="14"/>
        <color rgb="FF000000"/>
        <rFont val="Arial"/>
        <family val="2"/>
      </rPr>
      <t xml:space="preserve">
Do leaders respond with curiosity and questions, or defensiveness and frustration?
Do they listen fully, or interrupt and redirect the conversation?
</t>
    </r>
    <r>
      <rPr>
        <b/>
        <sz val="14"/>
        <color rgb="FF000000"/>
        <rFont val="Arial"/>
        <family val="2"/>
      </rPr>
      <t>Tone after mistakes or incidents</t>
    </r>
    <r>
      <rPr>
        <sz val="14"/>
        <color rgb="FF000000"/>
        <rFont val="Arial"/>
        <family val="2"/>
      </rPr>
      <t xml:space="preserve">
When errors occur, is the focus on understanding and learning, or finding someone to blame?
Do people feel safer to report near misses and mistakes, or inclined to hide them?
</t>
    </r>
    <r>
      <rPr>
        <b/>
        <sz val="14"/>
        <color rgb="FF000000"/>
        <rFont val="Arial"/>
        <family val="2"/>
      </rPr>
      <t xml:space="preserve">
Trust and fairness
</t>
    </r>
    <r>
      <rPr>
        <sz val="14"/>
        <color rgb="FF000000"/>
        <rFont val="Arial"/>
        <family val="2"/>
      </rPr>
      <t xml:space="preserve">If someone made a mistake tomorrow, would they expect a fair response?
Do people believe that speaking up leads to improvement rather than punishment?
</t>
    </r>
    <r>
      <rPr>
        <b/>
        <sz val="14"/>
        <color rgb="FF000000"/>
        <rFont val="Arial"/>
        <family val="2"/>
      </rPr>
      <t>Everyday interactions</t>
    </r>
    <r>
      <rPr>
        <sz val="14"/>
        <color rgb="FF000000"/>
        <rFont val="Arial"/>
        <family val="2"/>
      </rPr>
      <t xml:space="preserve">
Do leaders regularly ask for input and alternative views?
Do you see workers proactively raising risks without being prompted?</t>
    </r>
  </si>
  <si>
    <r>
      <rPr>
        <b/>
        <sz val="14"/>
        <rFont val="Arial"/>
        <family val="2"/>
      </rPr>
      <t>Quality and depth of investigations</t>
    </r>
    <r>
      <rPr>
        <sz val="14"/>
        <rFont val="Arial"/>
        <family val="2"/>
      </rPr>
      <t xml:space="preserve">
Defined investigation processes that look beyond immediate causes to systemic contributors.
Involvement of relevant leaders, subject matter experts, and frontline workers in investigations.
Clear documentation of findings, including governance, decision-making, and control effectiveness.
</t>
    </r>
    <r>
      <rPr>
        <b/>
        <sz val="14"/>
        <rFont val="Arial"/>
        <family val="2"/>
      </rPr>
      <t>Learning leading to system change</t>
    </r>
    <r>
      <rPr>
        <sz val="14"/>
        <rFont val="Arial"/>
        <family val="2"/>
      </rPr>
      <t xml:space="preserve">
Mechanisms that translate investigation learnings into changes in controls, procedures, or governance.
Evidence of leadership-level actions following significant incidents or near misses.
Processes to verify whether implemented changes actually reduced risk in practice.
</t>
    </r>
    <r>
      <rPr>
        <b/>
        <sz val="14"/>
        <rFont val="Arial"/>
        <family val="2"/>
      </rPr>
      <t>Sharing lessons beyond one site</t>
    </r>
    <r>
      <rPr>
        <sz val="14"/>
        <rFont val="Arial"/>
        <family val="2"/>
      </rPr>
      <t xml:space="preserve">
Formal platforms, forums, or bulletins for sharing lessons across teams, sites, or projects.
Evidence that contractors or partners receive relevant learnings where applicable.
Records showing that lessons are not only shared but discussed and understood.
</t>
    </r>
    <r>
      <rPr>
        <b/>
        <sz val="14"/>
        <rFont val="Arial"/>
        <family val="2"/>
      </rPr>
      <t>Continuous refinement of governance</t>
    </r>
    <r>
      <rPr>
        <sz val="14"/>
        <rFont val="Arial"/>
        <family val="2"/>
      </rPr>
      <t xml:space="preserve">
Regular reviews of decision rules, risk boundaries, and governance structures.
Clear triggers for reviewing these elements, such as incidents, trends, or audits.
Mechanisms to capture operational experience and feed it into system design.</t>
    </r>
  </si>
  <si>
    <r>
      <rPr>
        <b/>
        <sz val="14"/>
        <color rgb="FF000000"/>
        <rFont val="Arial"/>
        <family val="2"/>
      </rPr>
      <t>How investigations are perceived</t>
    </r>
    <r>
      <rPr>
        <sz val="14"/>
        <color rgb="FF000000"/>
        <rFont val="Arial"/>
        <family val="2"/>
      </rPr>
      <t xml:space="preserve">
Do people see investigations as fair and focused on learning, or mainly about blame?
After incidents, do workers feel the “real issues” were addressed?
</t>
    </r>
    <r>
      <rPr>
        <b/>
        <sz val="14"/>
        <color rgb="FF000000"/>
        <rFont val="Arial"/>
        <family val="2"/>
      </rPr>
      <t>Visibility of learning</t>
    </r>
    <r>
      <rPr>
        <sz val="14"/>
        <color rgb="FF000000"/>
        <rFont val="Arial"/>
        <family val="2"/>
      </rPr>
      <t xml:space="preserve">
Can people readily point to examples where learning led to real change?
Are lessons from past events visible in current procedures, training, or practices?
</t>
    </r>
    <r>
      <rPr>
        <b/>
        <sz val="14"/>
        <color rgb="FF000000"/>
        <rFont val="Arial"/>
        <family val="2"/>
      </rPr>
      <t>Impact on leadership and governance</t>
    </r>
    <r>
      <rPr>
        <sz val="14"/>
        <color rgb="FF000000"/>
        <rFont val="Arial"/>
        <family val="2"/>
      </rPr>
      <t xml:space="preserve">
Have you seen leadership change how they make decisions because of an incident or near miss?
Do people feel the system gets better over time, or do the same issues keep repeating?
</t>
    </r>
    <r>
      <rPr>
        <b/>
        <sz val="14"/>
        <color rgb="FF000000"/>
        <rFont val="Arial"/>
        <family val="2"/>
      </rPr>
      <t>Engagement with near misses and experience</t>
    </r>
    <r>
      <rPr>
        <sz val="14"/>
        <color rgb="FF000000"/>
        <rFont val="Arial"/>
        <family val="2"/>
      </rPr>
      <t xml:space="preserve">
Are people encouraged to report near misses and small signals of risk?
Do frontline insights genuinely influence how controls or governance are designed?
</t>
    </r>
    <r>
      <rPr>
        <b/>
        <sz val="14"/>
        <color rgb="FF000000"/>
        <rFont val="Arial"/>
        <family val="2"/>
      </rPr>
      <t>Connection between events and system change</t>
    </r>
    <r>
      <rPr>
        <sz val="14"/>
        <color rgb="FF000000"/>
        <rFont val="Arial"/>
        <family val="2"/>
      </rPr>
      <t xml:space="preserve">
When incidents occur, do changes focus only on local fixes, or on broader system improvement?
Do you see evidence that decision rules or risk boundaries have evolved based on learning?
</t>
    </r>
    <r>
      <rPr>
        <b/>
        <sz val="14"/>
        <color rgb="FF000000"/>
        <rFont val="Arial"/>
        <family val="2"/>
      </rPr>
      <t>Learning culture</t>
    </r>
    <r>
      <rPr>
        <sz val="14"/>
        <color rgb="FF000000"/>
        <rFont val="Arial"/>
        <family val="2"/>
      </rPr>
      <t xml:space="preserve">
Does the organisation talk about learning from its own experience and from industry?
Is there a visible “hunger to learn,” or does learning feel like a compliance activity?</t>
    </r>
  </si>
  <si>
    <t>Reactive</t>
  </si>
  <si>
    <t>Proactive</t>
  </si>
  <si>
    <t>Resilient</t>
  </si>
  <si>
    <r>
      <rPr>
        <b/>
        <sz val="26"/>
        <color theme="0"/>
        <rFont val="Arial"/>
        <family val="2"/>
      </rPr>
      <t xml:space="preserve">Reactive </t>
    </r>
    <r>
      <rPr>
        <sz val="18"/>
        <color theme="0"/>
        <rFont val="Arial"/>
        <family val="2"/>
      </rPr>
      <t xml:space="preserve">
Safety is largely reactive, fragmented and person-dependent, with little shared understanding, inconsistent practices and minimal system coherence. Decisions are primarily driven by production or compliance pressures rather than an articulated view of risk.</t>
    </r>
  </si>
  <si>
    <r>
      <rPr>
        <b/>
        <sz val="26"/>
        <color theme="0"/>
        <rFont val="Arial"/>
        <family val="2"/>
      </rPr>
      <t>Proactive</t>
    </r>
    <r>
      <rPr>
        <sz val="18"/>
        <color theme="0"/>
        <rFont val="Arial"/>
        <family val="2"/>
      </rPr>
      <t xml:space="preserve">
Safety systems are established and broadly understood, but application and influence on decisions are uneven across the organisation. Performance relies on emerging structures and capable leaders rather than a fully embedded, self-sustaining system.</t>
    </r>
  </si>
  <si>
    <r>
      <rPr>
        <b/>
        <sz val="26"/>
        <color theme="0"/>
        <rFont val="Arial"/>
        <family val="2"/>
      </rPr>
      <t xml:space="preserve">Resilient </t>
    </r>
    <r>
      <rPr>
        <sz val="18"/>
        <color theme="0"/>
        <rFont val="Arial"/>
        <family val="2"/>
      </rPr>
      <t xml:space="preserve">
Safety is fully integrated into how work is designed, decided and delivered, with clear, shared understanding of risk across all levels of the organisation. The system is self-sustaining and continuously improving, with decisions consistently guided by evidence, learning and a long-term view of risk reduction.</t>
    </r>
  </si>
  <si>
    <t>Governance Core Assessment</t>
  </si>
  <si>
    <t>This assessment guideline supports both internal self-assessments and external assessments of the Governance Core within the Safety Energy Loop Framework.
The guideline is not an assessment tool in itself. It is a supporting resource designed to help assessors understand the intent of the governance criteria, how the elements connect, and how system maturity presents in practice. It is intended to guide professional judgement, not replace it.
Assessors are expected to move beyond a traditional audit approach. The most valuable insights will come from conversations, observation, and testing how governance operates under normal conditions and under pressure, rather than relying solely on document review.</t>
  </si>
  <si>
    <t>Introduction</t>
  </si>
  <si>
    <r>
      <t xml:space="preserve">This section outlines the principles that underpin a credible and value-adding governance assessment. These principles apply to all elements of the Governance Core and should be applied consistently, whether the assessment is conducted as a self-review or by an external assessor.
The purpose of the assessment is to understand how well the governance system functions, not simply whether components exist.
</t>
    </r>
    <r>
      <rPr>
        <b/>
        <sz val="11"/>
        <color theme="1"/>
        <rFont val="Calibri"/>
        <family val="2"/>
        <scheme val="minor"/>
      </rPr>
      <t>Key principles include:</t>
    </r>
    <r>
      <rPr>
        <sz val="11"/>
        <color theme="1"/>
        <rFont val="Calibri"/>
        <family val="2"/>
        <scheme val="minor"/>
      </rPr>
      <t xml:space="preserve">
     </t>
    </r>
    <r>
      <rPr>
        <sz val="11"/>
        <color theme="1"/>
        <rFont val="Calibri"/>
        <family val="2"/>
      </rPr>
      <t>•</t>
    </r>
    <r>
      <rPr>
        <sz val="11"/>
        <color theme="1"/>
        <rFont val="Calibri"/>
        <family val="2"/>
        <scheme val="minor"/>
      </rPr>
      <t xml:space="preserve">  Assess the system as a whole, not individual documents in isolation. Governance elements are interconnected and should be evaluated in combination.
     •  Focus on how governance influences real decisions, behaviours, and outcomes, particularly for high-risk work.
     •  Use multiple sources of evidence, including documentation, interviews, field observations, and lived experience.
     •  Test alignment between what is described, what is demonstrated, and what is experienced by people at different levels.
     •  Avoid checklist-based scoring. Professional judgement is required to determine maturity based on patterns and consistency.
     •  Seek evidence of intent being translated into action, not just stated expectations.
     •  Look for both strengths and system constraints. The goal is insight and improvement, not compliance confirmation.
Assessments should produce outcomes that are accurate, objective, reliable, and genuinely useful to the organisation. Where gaps are identified, assessors should aim to describe why they exist and how they affect system performance.</t>
    </r>
  </si>
  <si>
    <t>General Assessment Principles</t>
  </si>
  <si>
    <t>Section One</t>
  </si>
  <si>
    <t>Section Two</t>
  </si>
  <si>
    <t>Assessment References</t>
  </si>
  <si>
    <r>
      <t xml:space="preserve">This section provides reference material to help assessors interpret maturity levels and understand how governance maturity presents in practice.
Rather than prescribing a fixed list of evidence, this section describes what governance maturity typically looks like, sounds like, and feels like when it is operating effectively as part of an integrated management system.
</t>
    </r>
    <r>
      <rPr>
        <b/>
        <sz val="11"/>
        <color theme="1"/>
        <rFont val="Calibri"/>
        <family val="2"/>
        <scheme val="minor"/>
      </rPr>
      <t xml:space="preserve">Assessors are encouraged to test what they have observed, reviewed, and experienced against:
</t>
    </r>
    <r>
      <rPr>
        <sz val="11"/>
        <color theme="1"/>
        <rFont val="Calibri"/>
        <family val="2"/>
        <scheme val="minor"/>
      </rPr>
      <t xml:space="preserve">     •  </t>
    </r>
    <r>
      <rPr>
        <b/>
        <sz val="11"/>
        <color theme="1"/>
        <rFont val="Calibri"/>
        <family val="2"/>
        <scheme val="minor"/>
      </rPr>
      <t xml:space="preserve">Process - </t>
    </r>
    <r>
      <rPr>
        <sz val="11"/>
        <color theme="1"/>
        <rFont val="Calibri"/>
        <family val="2"/>
        <scheme val="minor"/>
      </rPr>
      <t xml:space="preserve">the defined relationship and flow between components of the system.
     •  </t>
    </r>
    <r>
      <rPr>
        <b/>
        <sz val="11"/>
        <color theme="1"/>
        <rFont val="Calibri"/>
        <family val="2"/>
        <scheme val="minor"/>
      </rPr>
      <t>People -</t>
    </r>
    <r>
      <rPr>
        <sz val="11"/>
        <color theme="1"/>
        <rFont val="Calibri"/>
        <family val="2"/>
        <scheme val="minor"/>
      </rPr>
      <t xml:space="preserve"> the effective integration of human energy in enabling components of the system to be effective and/or interact as designed.
     </t>
    </r>
    <r>
      <rPr>
        <sz val="11"/>
        <color theme="1"/>
        <rFont val="Calibri"/>
        <family val="2"/>
      </rPr>
      <t>•</t>
    </r>
    <r>
      <rPr>
        <sz val="11"/>
        <color theme="1"/>
        <rFont val="Calibri"/>
        <family val="2"/>
        <scheme val="minor"/>
      </rPr>
      <t xml:space="preserve">  </t>
    </r>
    <r>
      <rPr>
        <b/>
        <sz val="11"/>
        <color theme="1"/>
        <rFont val="Calibri"/>
        <family val="2"/>
        <scheme val="minor"/>
      </rPr>
      <t>Systems –</t>
    </r>
    <r>
      <rPr>
        <sz val="11"/>
        <color theme="1"/>
        <rFont val="Calibri"/>
        <family val="2"/>
        <scheme val="minor"/>
      </rPr>
      <t xml:space="preserve"> the formal structures, processes, decision rules, and governance mechanisms in place.
     •  </t>
    </r>
    <r>
      <rPr>
        <b/>
        <sz val="11"/>
        <color theme="1"/>
        <rFont val="Calibri"/>
        <family val="2"/>
        <scheme val="minor"/>
      </rPr>
      <t xml:space="preserve">Symbols – </t>
    </r>
    <r>
      <rPr>
        <sz val="11"/>
        <color theme="1"/>
        <rFont val="Calibri"/>
        <family val="2"/>
        <scheme val="minor"/>
      </rPr>
      <t xml:space="preserve">what is visibly prioritised, reinforced, and valued across the organisation.
     • </t>
    </r>
    <r>
      <rPr>
        <b/>
        <sz val="11"/>
        <color theme="1"/>
        <rFont val="Calibri"/>
        <family val="2"/>
        <scheme val="minor"/>
      </rPr>
      <t xml:space="preserve"> Behaviours – </t>
    </r>
    <r>
      <rPr>
        <sz val="11"/>
        <color theme="1"/>
        <rFont val="Calibri"/>
        <family val="2"/>
        <scheme val="minor"/>
      </rPr>
      <t>how leaders and workers interact with governance processes in real situations.
Where opportunities for improvement are identified, assessors should align observations to the maturity descriptors used in this framework. Language should describe system behaviour and governance effectiveness, rather than individual performance.
The examples provided are intended as guidance only. They are not exhaustive, and assessors are expected to apply judgement based on the organisation’s context, risk profile, and operating environment.</t>
    </r>
  </si>
  <si>
    <t>Application of the scoring scale</t>
  </si>
  <si>
    <t>Progressive maturity logic</t>
  </si>
  <si>
    <t>Scoring basis and averaging</t>
  </si>
  <si>
    <t>Risk coverage expectation</t>
  </si>
  <si>
    <t>Criteria with multiple focus areas</t>
  </si>
  <si>
    <t>Using the scoring structure and definitions below, the assessor shall determine the maturity score for each assessment criterion based on the operation of the management system in practice.
Scores reflect how the system functions, not the quality of documentation in isolation.</t>
  </si>
  <si>
    <t>The score for each criterion shall be based on the typical operating state of the system.
Outliers, whether high or low performing areas, must not disproportionately influence the overall maturity score.
Where performance varies across teams, sites, or layers, the assessor should apply professional judgement and score based on the most representative system condition.</t>
  </si>
  <si>
    <r>
      <t xml:space="preserve">The maturity scale is cumulative.
To assign a score within the Proactive or Resilient maturity levels, all lower maturity requirements must first be met for that criterion.
</t>
    </r>
    <r>
      <rPr>
        <b/>
        <sz val="11"/>
        <color theme="1"/>
        <rFont val="Calibri"/>
        <family val="2"/>
        <scheme val="minor"/>
      </rPr>
      <t>For example:</t>
    </r>
    <r>
      <rPr>
        <sz val="11"/>
        <color theme="1"/>
        <rFont val="Calibri"/>
        <family val="2"/>
        <scheme val="minor"/>
      </rPr>
      <t xml:space="preserve">
     •  A score of 5 cannot be assigned unless the conditions represented at 3 are consistently present.
     •  A score of 8 or 9 requires evidence that Reactive and Proactive system characteristics are both established and sustained.
This prevents over-scoring isolated strengths where foundational system elements are missing.</t>
    </r>
  </si>
  <si>
    <t>Assessment and scoring must consider the full spectrum of material risk, including:
     •  health and safety risks resulting in injury
     •  risks with single fatality potential
     •  risks with catastrophic potential involving multiple fatalities
The assessor should consider whether the management system provides appropriate governance and decision support across this full risk profile, not only lower-consequence events.</t>
  </si>
  <si>
    <t>Where a criterion includes multiple focus areas, the assessor should determine an overall position on the 9-point scale based on the collective maturity of those focus areas.
Scoring should reflect:
     •  the balance between focus areas
     •  the degree to which weaknesses constrain overall system performance
A single strong focus area must not mask broader system gaps.</t>
  </si>
  <si>
    <t>Step One</t>
  </si>
  <si>
    <t>Step Two</t>
  </si>
  <si>
    <t>Step Three</t>
  </si>
  <si>
    <t>Step Four</t>
  </si>
  <si>
    <t>Step Five</t>
  </si>
  <si>
    <t>Consistency</t>
  </si>
  <si>
    <t>Quality</t>
  </si>
  <si>
    <t>Sustainability</t>
  </si>
  <si>
    <r>
      <t xml:space="preserve">* The operations score for a criteria is to be based on the average. Outliers (high or low performer) are not to influence overall maturity.
X Not completely achieved. Variable. 
</t>
    </r>
    <r>
      <rPr>
        <b/>
        <sz val="9"/>
        <color theme="1"/>
        <rFont val="Wingdings"/>
        <charset val="2"/>
      </rPr>
      <t>ü</t>
    </r>
    <r>
      <rPr>
        <b/>
        <sz val="9"/>
        <color theme="1"/>
        <rFont val="Arial"/>
        <family val="2"/>
      </rPr>
      <t xml:space="preserve"> Completely achieved</t>
    </r>
  </si>
  <si>
    <t>System Characteristic</t>
  </si>
  <si>
    <t>What is being tested?</t>
  </si>
  <si>
    <t>Is the system applied reliably across the organisation and through leadership layers?</t>
  </si>
  <si>
    <t>Does the system achieve its intended governance and risk management outcomes?</t>
  </si>
  <si>
    <t>Is consistent, high-quality performance sustained over time (typically ≥ 6 months)?</t>
  </si>
  <si>
    <t>System elements exist or are applied inconsistently. Outcomes depend heavily on individuals and local effort.</t>
  </si>
  <si>
    <t>System elements are consistently applied and generally effective. Governance supports decision-making but may still rely on active oversight.</t>
  </si>
  <si>
    <t>System performance is reliable, embedded, and sustained. Governance adapts based on learning and continues to function under pressure and change.</t>
  </si>
  <si>
    <t>Scoring Intent</t>
  </si>
  <si>
    <t>Leadership Intent and Expectations</t>
  </si>
  <si>
    <t>Consistent</t>
  </si>
  <si>
    <t>Sustained</t>
  </si>
  <si>
    <t>Translation of intent into roles, expectations and decisions</t>
  </si>
  <si>
    <t>Shared understanding of safety intent across leadership layers</t>
  </si>
  <si>
    <t>Visible alignment between what leaders say and what they do</t>
  </si>
  <si>
    <t>Clarity and consistency of leadership safety intent</t>
  </si>
  <si>
    <t>Leadership Accountability for Outcomes</t>
  </si>
  <si>
    <t>Ownership of system performance and critical control health</t>
  </si>
  <si>
    <t>Leadership response to incidents, risk and system failures</t>
  </si>
  <si>
    <t>Formal accountability for safety in leadership performance measures</t>
  </si>
  <si>
    <t>Consistency and fairness in how accountability is applied</t>
  </si>
  <si>
    <t>Scoring Indicators</t>
  </si>
  <si>
    <t>Decision Rights for High-Risk Work</t>
  </si>
  <si>
    <t>Clarity of approval, escalation, and stop-work authority</t>
  </si>
  <si>
    <t>Consistent application of decision rules in practice</t>
  </si>
  <si>
    <t>Alignment between documented decision rights and real decisions</t>
  </si>
  <si>
    <t>Functionality of escalation pathways under pressure</t>
  </si>
  <si>
    <t>Clarity of governance structure, roles, and forums</t>
  </si>
  <si>
    <t>Quality and purposefulness of safety meetings and reviews</t>
  </si>
  <si>
    <t>Decision-making, action tracking, and follow-through</t>
  </si>
  <si>
    <t>Flow of safety information between frontline and leadership</t>
  </si>
  <si>
    <t>Translation of Legal Duties</t>
  </si>
  <si>
    <t>Risk Appetite and Decision Boundaries</t>
  </si>
  <si>
    <t>Currency and relevance of the legal register</t>
  </si>
  <si>
    <t>Clear mapping of legal duties to controls and roles</t>
  </si>
  <si>
    <t>Use of legal requirements in risk assessments and procedures</t>
  </si>
  <si>
    <t>Systematic updates when laws or standards change</t>
  </si>
  <si>
    <t>Existence and clarity of a documented risk appetite</t>
  </si>
  <si>
    <t>Consistent application of risk boundaries in decisions</t>
  </si>
  <si>
    <t>Alignment between risk appetite, approvals, and planning</t>
  </si>
  <si>
    <t>Leadership intervention when risk boundaries are approached</t>
  </si>
  <si>
    <t>Escalation Pathways and Speak-Up</t>
  </si>
  <si>
    <t>Clarity and accessibility of speak-up and escalation routes</t>
  </si>
  <si>
    <t>Defined response timeframes and feedback loops</t>
  </si>
  <si>
    <t>Protection from retaliation when concerns are raised</t>
  </si>
  <si>
    <t>Evidence that issues raised lead to visible action</t>
  </si>
  <si>
    <t>Psychological Safety</t>
  </si>
  <si>
    <t>Leadership behaviours that invite challenge and bad news</t>
  </si>
  <si>
    <t>Quality of dialogue in meetings and decision forums</t>
  </si>
  <si>
    <t>Absence of blame and fear of consequences for speaking up</t>
  </si>
  <si>
    <t>Evidence that constructive dissent is valued and acted upon</t>
  </si>
  <si>
    <t>Learning Feeding Back into Governance</t>
  </si>
  <si>
    <t>Quality and depth of incident investigations</t>
  </si>
  <si>
    <t>Evidence that learning leads to system or governance changes</t>
  </si>
  <si>
    <t>Sharing of lessons beyond the immediate site or team</t>
  </si>
  <si>
    <t>Continuous refinement of decision rules, controls, or structures</t>
  </si>
  <si>
    <t>System Strength</t>
  </si>
  <si>
    <t>Strength</t>
  </si>
  <si>
    <t>Indicators</t>
  </si>
  <si>
    <t>Score</t>
  </si>
  <si>
    <t>C</t>
  </si>
  <si>
    <t>Q</t>
  </si>
  <si>
    <t>S</t>
  </si>
  <si>
    <t>RCQS</t>
  </si>
  <si>
    <t>RCXX</t>
  </si>
  <si>
    <t>RCQX</t>
  </si>
  <si>
    <t>PCQS</t>
  </si>
  <si>
    <t>PCXX</t>
  </si>
  <si>
    <t>PCQX</t>
  </si>
  <si>
    <t>RECQS</t>
  </si>
  <si>
    <t>RECXX</t>
  </si>
  <si>
    <t>RECQX</t>
  </si>
  <si>
    <t>Ratings</t>
  </si>
  <si>
    <t>Sustainable</t>
  </si>
  <si>
    <t>RXQS</t>
  </si>
  <si>
    <t>RXXS</t>
  </si>
  <si>
    <t>RCXS</t>
  </si>
  <si>
    <t>PXQS</t>
  </si>
  <si>
    <t>PXXS</t>
  </si>
  <si>
    <t>PCXS</t>
  </si>
  <si>
    <t>REXQS</t>
  </si>
  <si>
    <t>REXXS</t>
  </si>
  <si>
    <t>RECXS</t>
  </si>
  <si>
    <t>Invalid</t>
  </si>
  <si>
    <t>Don't Touch</t>
  </si>
  <si>
    <t xml:space="preserve">Average maturity score </t>
  </si>
  <si>
    <t>Ave Score</t>
  </si>
  <si>
    <t>Notes</t>
  </si>
  <si>
    <t>#</t>
  </si>
  <si>
    <t>Topic</t>
  </si>
  <si>
    <t>Clauses</t>
  </si>
  <si>
    <t>Organisation</t>
  </si>
  <si>
    <t>Facility/ Asset</t>
  </si>
  <si>
    <t>Team (if required)</t>
  </si>
  <si>
    <t>Assessor Name/s</t>
  </si>
  <si>
    <t>Assessment Date</t>
  </si>
  <si>
    <t>Scoring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</si>
</sst>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x14ac:knownFonts="1">
    <font>
      <sz val="11"/>
      <color theme="1"/>
      <name val="Calibri"/>
      <family val="2"/>
      <scheme val="minor"/>
    </font>
    <font>
      <sz val="18"/>
      <color theme="1"/>
      <name val="Calibri"/>
      <family val="2"/>
      <scheme val="minor"/>
    </font>
    <font>
      <b/>
      <sz val="18"/>
      <color theme="0"/>
      <name val="Arial"/>
      <family val="2"/>
    </font>
    <font>
      <sz val="13"/>
      <name val="Arial"/>
      <family val="2"/>
    </font>
    <font>
      <b/>
      <sz val="13"/>
      <name val="Arial"/>
      <family val="2"/>
    </font>
    <font>
      <sz val="13"/>
      <color theme="1"/>
      <name val="Arial"/>
      <family val="2"/>
    </font>
    <font>
      <sz val="12"/>
      <color theme="1"/>
      <name val="Wingdings"/>
      <charset val="2"/>
    </font>
    <font>
      <b/>
      <sz val="14"/>
      <name val="Arial"/>
      <family val="2"/>
    </font>
    <font>
      <sz val="14"/>
      <name val="Arial"/>
      <family val="2"/>
    </font>
    <font>
      <sz val="22"/>
      <color theme="1"/>
      <name val="Calibri"/>
      <family val="2"/>
      <scheme val="minor"/>
    </font>
    <font>
      <b/>
      <sz val="14"/>
      <color theme="0"/>
      <name val="Arial"/>
      <family val="2"/>
    </font>
    <font>
      <b/>
      <sz val="11"/>
      <color theme="1"/>
      <name val="Calibri"/>
      <family val="2"/>
      <scheme val="minor"/>
    </font>
    <font>
      <b/>
      <sz val="22"/>
      <color theme="1"/>
      <name val="Calibri"/>
      <family val="2"/>
      <scheme val="minor"/>
    </font>
    <font>
      <b/>
      <sz val="18"/>
      <color theme="1"/>
      <name val="Calibri"/>
      <family val="2"/>
      <scheme val="minor"/>
    </font>
    <font>
      <b/>
      <sz val="16"/>
      <color theme="1"/>
      <name val="Calibri"/>
      <family val="2"/>
      <scheme val="minor"/>
    </font>
    <font>
      <sz val="14"/>
      <color theme="1"/>
      <name val="Calibri"/>
      <family val="2"/>
      <scheme val="minor"/>
    </font>
    <font>
      <b/>
      <sz val="20"/>
      <color theme="1"/>
      <name val="Calibri"/>
      <family val="2"/>
      <scheme val="minor"/>
    </font>
    <font>
      <b/>
      <sz val="14"/>
      <color theme="1"/>
      <name val="Calibri"/>
      <family val="2"/>
      <scheme val="minor"/>
    </font>
    <font>
      <b/>
      <sz val="9"/>
      <color theme="1"/>
      <name val="Arial"/>
      <family val="2"/>
    </font>
    <font>
      <b/>
      <sz val="12"/>
      <color theme="1"/>
      <name val="Calibri"/>
      <family val="2"/>
      <scheme val="minor"/>
    </font>
    <font>
      <b/>
      <sz val="12"/>
      <color rgb="FFFF0000"/>
      <name val="Arial"/>
      <family val="2"/>
    </font>
    <font>
      <b/>
      <sz val="12"/>
      <color rgb="FF7030A0"/>
      <name val="Arial"/>
      <family val="2"/>
    </font>
    <font>
      <b/>
      <sz val="12"/>
      <color rgb="FF00B050"/>
      <name val="Arial"/>
      <family val="2"/>
    </font>
    <font>
      <b/>
      <sz val="12"/>
      <color rgb="FFFF0000"/>
      <name val="Calibri"/>
      <family val="2"/>
      <scheme val="minor"/>
    </font>
    <font>
      <b/>
      <sz val="12"/>
      <color rgb="FF7030A0"/>
      <name val="Calibri"/>
      <family val="2"/>
      <scheme val="minor"/>
    </font>
    <font>
      <b/>
      <sz val="12"/>
      <color rgb="FF00B050"/>
      <name val="Calibri"/>
      <family val="2"/>
      <scheme val="minor"/>
    </font>
    <font>
      <sz val="11"/>
      <color theme="1"/>
      <name val="Calibri"/>
      <family val="2"/>
    </font>
    <font>
      <b/>
      <sz val="9"/>
      <color theme="1"/>
      <name val="Wingdings"/>
      <charset val="2"/>
    </font>
    <font>
      <sz val="12"/>
      <color theme="1"/>
      <name val="Calibri"/>
      <family val="2"/>
      <scheme val="minor"/>
    </font>
    <font>
      <b/>
      <i/>
      <sz val="13"/>
      <name val="Arial"/>
      <family val="2"/>
    </font>
    <font>
      <b/>
      <sz val="14"/>
      <color theme="1"/>
      <name val="Arial"/>
      <family val="2"/>
    </font>
    <font>
      <sz val="18"/>
      <color rgb="FF000000"/>
      <name val="Calibri"/>
      <family val="2"/>
    </font>
    <font>
      <b/>
      <sz val="18"/>
      <color rgb="FFFFFFFF"/>
      <name val="Arial"/>
      <family val="2"/>
    </font>
    <font>
      <sz val="13"/>
      <color rgb="FF000000"/>
      <name val="Arial"/>
      <family val="2"/>
    </font>
    <font>
      <b/>
      <sz val="13"/>
      <color rgb="FF000000"/>
      <name val="Arial"/>
      <family val="2"/>
    </font>
    <font>
      <b/>
      <sz val="12"/>
      <name val="Arial"/>
      <family val="2"/>
    </font>
    <font>
      <b/>
      <sz val="14"/>
      <color rgb="FF57061F"/>
      <name val="Arial"/>
      <family val="2"/>
    </font>
    <font>
      <b/>
      <sz val="18"/>
      <color rgb="FF57061F"/>
      <name val="Arial"/>
      <family val="2"/>
    </font>
    <font>
      <b/>
      <sz val="13"/>
      <color theme="1"/>
      <name val="Arial"/>
      <family val="2"/>
    </font>
    <font>
      <sz val="18"/>
      <color theme="0"/>
      <name val="Arial"/>
      <family val="2"/>
    </font>
    <font>
      <b/>
      <sz val="26"/>
      <color theme="0"/>
      <name val="Arial"/>
      <family val="2"/>
    </font>
    <font>
      <sz val="14"/>
      <color theme="0"/>
      <name val="Arial"/>
      <family val="2"/>
    </font>
    <font>
      <sz val="14"/>
      <color rgb="FF000000"/>
      <name val="Arial"/>
      <family val="2"/>
    </font>
    <font>
      <sz val="14"/>
      <color theme="1"/>
      <name val="Arial"/>
      <family val="2"/>
    </font>
    <font>
      <sz val="14"/>
      <color theme="1"/>
      <name val="Calibri"/>
      <family val="2"/>
    </font>
    <font>
      <b/>
      <sz val="14"/>
      <color rgb="FF000000"/>
      <name val="Arial"/>
      <family val="2"/>
    </font>
    <font>
      <b/>
      <sz val="11"/>
      <color theme="0"/>
      <name val="Calibri"/>
      <family val="2"/>
      <scheme val="minor"/>
    </font>
    <font>
      <sz val="11"/>
      <color theme="0"/>
      <name val="Calibri"/>
      <family val="2"/>
      <scheme val="minor"/>
    </font>
    <font>
      <i/>
      <sz val="14"/>
      <color theme="1"/>
      <name val="Calibri"/>
      <family val="2"/>
      <scheme val="minor"/>
    </font>
    <font>
      <b/>
      <sz val="12"/>
      <color theme="0"/>
      <name val="Arial"/>
      <family val="2"/>
    </font>
    <font>
      <sz val="10"/>
      <color theme="0"/>
      <name val="Arial"/>
      <family val="2"/>
    </font>
    <font>
      <b/>
      <sz val="10"/>
      <name val="Arial"/>
      <family val="2"/>
    </font>
    <font>
      <b/>
      <sz val="10"/>
      <color theme="1"/>
      <name val="Arial"/>
      <family val="2"/>
    </font>
    <font>
      <b/>
      <sz val="10"/>
      <color theme="0"/>
      <name val="Arial"/>
      <family val="2"/>
    </font>
    <font>
      <sz val="14"/>
      <color theme="0"/>
      <name val="Calibri"/>
      <family val="2"/>
      <scheme val="minor"/>
    </font>
  </fonts>
  <fills count="2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rgb="FFFFFFFF"/>
        <bgColor rgb="FF000000"/>
      </patternFill>
    </fill>
    <fill>
      <patternFill patternType="solid">
        <fgColor rgb="FFF2F2F2"/>
        <bgColor rgb="FF000000"/>
      </patternFill>
    </fill>
    <fill>
      <patternFill patternType="solid">
        <fgColor theme="7"/>
        <bgColor indexed="64"/>
      </patternFill>
    </fill>
    <fill>
      <patternFill patternType="solid">
        <fgColor rgb="FFAEC5E0"/>
        <bgColor indexed="64"/>
      </patternFill>
    </fill>
    <fill>
      <patternFill patternType="solid">
        <fgColor rgb="FFD65400"/>
        <bgColor indexed="64"/>
      </patternFill>
    </fill>
    <fill>
      <patternFill patternType="solid">
        <fgColor rgb="FFAD002E"/>
        <bgColor indexed="64"/>
      </patternFill>
    </fill>
    <fill>
      <patternFill patternType="solid">
        <fgColor rgb="FFAD002E"/>
        <bgColor rgb="FF000000"/>
      </patternFill>
    </fill>
    <fill>
      <patternFill patternType="solid">
        <fgColor theme="1"/>
        <bgColor rgb="FF000000"/>
      </patternFill>
    </fill>
    <fill>
      <patternFill patternType="solid">
        <fgColor theme="8"/>
        <bgColor rgb="FF000000"/>
      </patternFill>
    </fill>
    <fill>
      <patternFill patternType="solid">
        <fgColor theme="9"/>
        <bgColor rgb="FF000000"/>
      </patternFill>
    </fill>
    <fill>
      <patternFill patternType="solid">
        <fgColor rgb="FF7030A0"/>
        <bgColor rgb="FF000000"/>
      </patternFill>
    </fill>
    <fill>
      <patternFill patternType="solid">
        <fgColor rgb="FF00B050"/>
        <bgColor rgb="FF000000"/>
      </patternFill>
    </fill>
    <fill>
      <patternFill patternType="solid">
        <fgColor theme="8"/>
        <bgColor indexed="64"/>
      </patternFill>
    </fill>
    <fill>
      <patternFill patternType="solid">
        <fgColor theme="9"/>
        <bgColor indexed="64"/>
      </patternFill>
    </fill>
    <fill>
      <patternFill patternType="solid">
        <fgColor rgb="FF00B0F0"/>
        <bgColor indexed="64"/>
      </patternFill>
    </fill>
    <fill>
      <patternFill patternType="solid">
        <fgColor rgb="FF7030A0"/>
        <bgColor indexed="64"/>
      </patternFill>
    </fill>
    <fill>
      <patternFill patternType="solid">
        <fgColor rgb="FF00B050"/>
        <bgColor indexed="64"/>
      </patternFill>
    </fill>
    <fill>
      <patternFill patternType="solid">
        <fgColor rgb="FFFFFF00"/>
        <bgColor indexed="64"/>
      </patternFill>
    </fill>
    <fill>
      <patternFill patternType="solid">
        <fgColor theme="7" tint="0.59999389629810485"/>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s>
  <cellStyleXfs count="1">
    <xf numFmtId="0" fontId="0" fillId="0" borderId="0"/>
  </cellStyleXfs>
  <cellXfs count="288">
    <xf numFmtId="0" fontId="0" fillId="0" borderId="0" xfId="0"/>
    <xf numFmtId="0" fontId="1" fillId="0" borderId="0" xfId="0" applyFont="1"/>
    <xf numFmtId="0" fontId="6" fillId="0" borderId="1" xfId="0" applyFont="1" applyBorder="1" applyAlignment="1">
      <alignment horizontal="center" vertical="center"/>
    </xf>
    <xf numFmtId="0" fontId="1" fillId="0" borderId="0" xfId="0" applyFont="1" applyAlignment="1">
      <alignment horizontal="center"/>
    </xf>
    <xf numFmtId="0" fontId="0" fillId="2" borderId="0" xfId="0" applyFill="1"/>
    <xf numFmtId="0" fontId="1" fillId="2" borderId="0" xfId="0" applyFont="1" applyFill="1" applyAlignment="1">
      <alignment horizontal="center"/>
    </xf>
    <xf numFmtId="0" fontId="1" fillId="2" borderId="0" xfId="0" applyFont="1" applyFill="1"/>
    <xf numFmtId="0" fontId="9" fillId="0" borderId="0" xfId="0" applyFont="1"/>
    <xf numFmtId="0" fontId="9" fillId="2" borderId="0" xfId="0" applyFont="1" applyFill="1"/>
    <xf numFmtId="0" fontId="1" fillId="8" borderId="0" xfId="0" applyFont="1" applyFill="1" applyAlignment="1">
      <alignment horizontal="center"/>
    </xf>
    <xf numFmtId="0" fontId="0" fillId="8" borderId="0" xfId="0" applyFill="1"/>
    <xf numFmtId="2" fontId="15" fillId="2" borderId="1" xfId="0" applyNumberFormat="1" applyFont="1" applyFill="1" applyBorder="1" applyAlignment="1">
      <alignment horizontal="center" vertical="center"/>
    </xf>
    <xf numFmtId="0" fontId="0" fillId="0" borderId="1" xfId="0" applyBorder="1" applyAlignment="1">
      <alignment horizontal="center" vertical="center"/>
    </xf>
    <xf numFmtId="0" fontId="17" fillId="0" borderId="1" xfId="0" applyFont="1" applyBorder="1" applyAlignment="1">
      <alignment horizontal="center" vertical="center"/>
    </xf>
    <xf numFmtId="0" fontId="20" fillId="5" borderId="1" xfId="0" applyFont="1" applyFill="1" applyBorder="1" applyAlignment="1">
      <alignment horizontal="center" vertical="center"/>
    </xf>
    <xf numFmtId="0" fontId="21" fillId="6" borderId="1" xfId="0" applyFont="1" applyFill="1" applyBorder="1" applyAlignment="1">
      <alignment horizontal="center" vertical="center"/>
    </xf>
    <xf numFmtId="0" fontId="22" fillId="4" borderId="1" xfId="0" applyFont="1" applyFill="1" applyBorder="1" applyAlignment="1">
      <alignment horizontal="center" vertical="center"/>
    </xf>
    <xf numFmtId="0" fontId="19" fillId="0" borderId="1" xfId="0" applyFont="1" applyBorder="1" applyAlignment="1">
      <alignment horizontal="center" vertical="center"/>
    </xf>
    <xf numFmtId="0" fontId="0" fillId="2" borderId="14" xfId="0" applyFill="1" applyBorder="1" applyAlignment="1">
      <alignment horizontal="left" vertical="center"/>
    </xf>
    <xf numFmtId="0" fontId="0" fillId="2" borderId="15" xfId="0" applyFill="1" applyBorder="1" applyAlignment="1">
      <alignment horizontal="left" vertical="center"/>
    </xf>
    <xf numFmtId="0" fontId="0" fillId="2" borderId="17" xfId="0" applyFill="1" applyBorder="1" applyAlignment="1">
      <alignment horizontal="left" vertical="center"/>
    </xf>
    <xf numFmtId="0" fontId="15" fillId="2" borderId="14" xfId="0" applyFont="1" applyFill="1" applyBorder="1" applyAlignment="1">
      <alignment horizontal="center" vertical="center"/>
    </xf>
    <xf numFmtId="0" fontId="15" fillId="2" borderId="15" xfId="0" applyFont="1" applyFill="1" applyBorder="1" applyAlignment="1">
      <alignment horizontal="center" vertical="center"/>
    </xf>
    <xf numFmtId="0" fontId="15" fillId="2" borderId="17" xfId="0" applyFont="1" applyFill="1" applyBorder="1" applyAlignment="1">
      <alignment horizontal="center" vertical="center"/>
    </xf>
    <xf numFmtId="0" fontId="15" fillId="2" borderId="12" xfId="0" applyFont="1" applyFill="1" applyBorder="1" applyAlignment="1">
      <alignment horizontal="center" vertical="center"/>
    </xf>
    <xf numFmtId="0" fontId="15" fillId="2" borderId="16" xfId="0" applyFont="1" applyFill="1" applyBorder="1" applyAlignment="1">
      <alignment horizontal="center" vertical="center"/>
    </xf>
    <xf numFmtId="0" fontId="0" fillId="0" borderId="1" xfId="0" applyBorder="1" applyAlignment="1">
      <alignment horizontal="center"/>
    </xf>
    <xf numFmtId="0" fontId="18" fillId="2" borderId="0" xfId="0" applyFont="1" applyFill="1" applyAlignment="1">
      <alignment vertical="center"/>
    </xf>
    <xf numFmtId="0" fontId="0" fillId="2" borderId="25" xfId="0" applyFill="1" applyBorder="1" applyAlignment="1">
      <alignment horizontal="left" vertical="center"/>
    </xf>
    <xf numFmtId="0" fontId="31" fillId="9" borderId="0" xfId="0" applyFont="1" applyFill="1"/>
    <xf numFmtId="0" fontId="31" fillId="0" borderId="0" xfId="0" applyFont="1"/>
    <xf numFmtId="0" fontId="3" fillId="9" borderId="1" xfId="0" applyFont="1" applyFill="1" applyBorder="1" applyAlignment="1">
      <alignment horizontal="left" vertical="top" wrapText="1"/>
    </xf>
    <xf numFmtId="0" fontId="26" fillId="9" borderId="0" xfId="0" applyFont="1" applyFill="1"/>
    <xf numFmtId="0" fontId="26" fillId="0" borderId="0" xfId="0" applyFont="1"/>
    <xf numFmtId="0" fontId="3" fillId="10"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33" fillId="9" borderId="1" xfId="0" applyFont="1" applyFill="1" applyBorder="1" applyAlignment="1">
      <alignment horizontal="left" vertical="top" wrapText="1"/>
    </xf>
    <xf numFmtId="0" fontId="33" fillId="10" borderId="1" xfId="0" applyFont="1" applyFill="1" applyBorder="1" applyAlignment="1">
      <alignment horizontal="left" vertical="top" wrapText="1"/>
    </xf>
    <xf numFmtId="0" fontId="31" fillId="9" borderId="0" xfId="0" applyFont="1" applyFill="1" applyAlignment="1">
      <alignment horizontal="center"/>
    </xf>
    <xf numFmtId="0" fontId="26" fillId="9" borderId="0" xfId="0" applyFont="1" applyFill="1" applyAlignment="1">
      <alignment vertical="top"/>
    </xf>
    <xf numFmtId="0" fontId="26" fillId="9" borderId="0" xfId="0" applyFont="1" applyFill="1" applyAlignment="1">
      <alignment horizontal="left" vertical="top"/>
    </xf>
    <xf numFmtId="0" fontId="31" fillId="0" borderId="0" xfId="0" applyFont="1" applyAlignment="1">
      <alignment horizontal="center"/>
    </xf>
    <xf numFmtId="0" fontId="26" fillId="0" borderId="0" xfId="0" applyFont="1" applyAlignment="1">
      <alignment vertical="top"/>
    </xf>
    <xf numFmtId="0" fontId="26" fillId="0" borderId="0" xfId="0" applyFont="1" applyAlignment="1">
      <alignment horizontal="left" vertical="top"/>
    </xf>
    <xf numFmtId="0" fontId="0" fillId="2" borderId="32" xfId="0" applyFill="1" applyBorder="1" applyAlignment="1">
      <alignment horizontal="left" vertical="center" wrapText="1"/>
    </xf>
    <xf numFmtId="0" fontId="0" fillId="2" borderId="33" xfId="0" applyFill="1" applyBorder="1" applyAlignment="1">
      <alignment horizontal="left" vertical="center" wrapText="1"/>
    </xf>
    <xf numFmtId="0" fontId="0" fillId="2" borderId="34" xfId="0" applyFill="1" applyBorder="1" applyAlignment="1">
      <alignment horizontal="left" vertical="center" wrapText="1"/>
    </xf>
    <xf numFmtId="0" fontId="0" fillId="2" borderId="27" xfId="0" applyFill="1" applyBorder="1" applyAlignment="1">
      <alignment horizontal="left" vertical="center" wrapText="1"/>
    </xf>
    <xf numFmtId="0" fontId="0" fillId="2" borderId="35" xfId="0" applyFill="1" applyBorder="1" applyAlignment="1">
      <alignment horizontal="left" vertical="center" wrapText="1"/>
    </xf>
    <xf numFmtId="0" fontId="18" fillId="2" borderId="0" xfId="0" applyFont="1" applyFill="1" applyAlignment="1">
      <alignment horizontal="left" vertical="center"/>
    </xf>
    <xf numFmtId="0" fontId="14" fillId="2" borderId="0" xfId="0" applyFont="1" applyFill="1" applyAlignment="1">
      <alignment vertical="center"/>
    </xf>
    <xf numFmtId="0" fontId="11" fillId="2" borderId="0" xfId="0" applyFont="1" applyFill="1"/>
    <xf numFmtId="0" fontId="0" fillId="2" borderId="0" xfId="0" applyFill="1" applyAlignment="1">
      <alignment horizontal="center"/>
    </xf>
    <xf numFmtId="0" fontId="32" fillId="15" borderId="0" xfId="0" applyFont="1" applyFill="1" applyAlignment="1">
      <alignment horizontal="center" vertical="center" wrapText="1"/>
    </xf>
    <xf numFmtId="0" fontId="4" fillId="10" borderId="0" xfId="0" applyFont="1" applyFill="1" applyAlignment="1">
      <alignment horizontal="left" vertical="top" wrapText="1"/>
    </xf>
    <xf numFmtId="0" fontId="3" fillId="9" borderId="0" xfId="0" applyFont="1" applyFill="1" applyAlignment="1">
      <alignment horizontal="left" vertical="top" wrapText="1"/>
    </xf>
    <xf numFmtId="0" fontId="3" fillId="10" borderId="0" xfId="0" applyFont="1" applyFill="1" applyAlignment="1">
      <alignment horizontal="left" vertical="top" wrapText="1"/>
    </xf>
    <xf numFmtId="0" fontId="33" fillId="9" borderId="0" xfId="0" applyFont="1" applyFill="1" applyAlignment="1">
      <alignment horizontal="left" vertical="top" wrapText="1"/>
    </xf>
    <xf numFmtId="0" fontId="4" fillId="9"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16" borderId="1" xfId="0" applyFont="1" applyFill="1" applyBorder="1" applyAlignment="1">
      <alignment horizontal="center" vertical="center" wrapText="1"/>
    </xf>
    <xf numFmtId="0" fontId="39" fillId="16"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28" fillId="0" borderId="40" xfId="0" applyFont="1" applyBorder="1" applyAlignment="1">
      <alignment vertical="center" wrapText="1"/>
    </xf>
    <xf numFmtId="0" fontId="28" fillId="0" borderId="41" xfId="0" applyFont="1" applyBorder="1" applyAlignment="1">
      <alignment vertical="center" wrapText="1"/>
    </xf>
    <xf numFmtId="0" fontId="28" fillId="0" borderId="42" xfId="0" applyFont="1" applyBorder="1" applyAlignment="1">
      <alignment vertical="center" wrapText="1"/>
    </xf>
    <xf numFmtId="0" fontId="28" fillId="0" borderId="43" xfId="0" applyFont="1" applyBorder="1" applyAlignment="1">
      <alignment vertical="center" wrapText="1"/>
    </xf>
    <xf numFmtId="0" fontId="28" fillId="0" borderId="39" xfId="0" applyFont="1" applyBorder="1" applyAlignment="1">
      <alignment vertical="center" wrapText="1"/>
    </xf>
    <xf numFmtId="0" fontId="28" fillId="0" borderId="44" xfId="0" applyFont="1" applyBorder="1" applyAlignment="1">
      <alignment vertical="center" wrapText="1"/>
    </xf>
    <xf numFmtId="0" fontId="19" fillId="0" borderId="44" xfId="0" applyFont="1" applyBorder="1" applyAlignment="1">
      <alignment vertical="center" wrapText="1"/>
    </xf>
    <xf numFmtId="0" fontId="28" fillId="0" borderId="45" xfId="0" applyFont="1" applyBorder="1" applyAlignment="1">
      <alignment vertical="center" wrapText="1"/>
    </xf>
    <xf numFmtId="0" fontId="28" fillId="0" borderId="46" xfId="0" applyFont="1" applyBorder="1" applyAlignment="1">
      <alignment vertical="center" wrapText="1"/>
    </xf>
    <xf numFmtId="0" fontId="28" fillId="0" borderId="47" xfId="0" applyFont="1" applyBorder="1" applyAlignment="1">
      <alignment vertical="center" wrapText="1"/>
    </xf>
    <xf numFmtId="0" fontId="10" fillId="16" borderId="1" xfId="0" applyFont="1" applyFill="1" applyBorder="1" applyAlignment="1">
      <alignment horizontal="center" vertical="center" wrapText="1"/>
    </xf>
    <xf numFmtId="0" fontId="41" fillId="16" borderId="1" xfId="0" applyFont="1" applyFill="1" applyBorder="1" applyAlignment="1">
      <alignment horizontal="center" vertical="center" wrapText="1"/>
    </xf>
    <xf numFmtId="0" fontId="7" fillId="9"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8" fillId="10" borderId="1" xfId="0" applyFont="1" applyFill="1" applyBorder="1" applyAlignment="1">
      <alignment horizontal="left" vertical="top" wrapText="1"/>
    </xf>
    <xf numFmtId="0" fontId="42" fillId="9" borderId="1" xfId="0" applyFont="1" applyFill="1" applyBorder="1" applyAlignment="1">
      <alignment horizontal="left" vertical="top" wrapText="1"/>
    </xf>
    <xf numFmtId="0" fontId="43" fillId="9" borderId="1" xfId="0" applyFont="1" applyFill="1" applyBorder="1" applyAlignment="1">
      <alignment horizontal="left" vertical="top" wrapText="1"/>
    </xf>
    <xf numFmtId="0" fontId="42" fillId="10" borderId="1" xfId="0" applyFont="1" applyFill="1" applyBorder="1" applyAlignment="1">
      <alignment horizontal="left" vertical="top" wrapText="1"/>
    </xf>
    <xf numFmtId="0" fontId="44" fillId="9" borderId="0" xfId="0" applyFont="1" applyFill="1" applyAlignment="1">
      <alignment vertical="top"/>
    </xf>
    <xf numFmtId="0" fontId="44" fillId="9" borderId="0" xfId="0" applyFont="1" applyFill="1" applyAlignment="1">
      <alignment horizontal="left" vertical="top"/>
    </xf>
    <xf numFmtId="0" fontId="44" fillId="0" borderId="0" xfId="0" applyFont="1" applyAlignment="1">
      <alignment vertical="top"/>
    </xf>
    <xf numFmtId="0" fontId="44" fillId="0" borderId="0" xfId="0" applyFont="1" applyAlignment="1">
      <alignment horizontal="left" vertical="top"/>
    </xf>
    <xf numFmtId="0" fontId="0" fillId="0" borderId="0" xfId="0" applyAlignment="1">
      <alignment vertical="center"/>
    </xf>
    <xf numFmtId="0" fontId="0" fillId="8" borderId="50" xfId="0" applyFill="1" applyBorder="1" applyAlignment="1">
      <alignment vertical="center"/>
    </xf>
    <xf numFmtId="0" fontId="0" fillId="8" borderId="51" xfId="0" applyFill="1" applyBorder="1" applyAlignment="1">
      <alignment vertical="center"/>
    </xf>
    <xf numFmtId="0" fontId="10" fillId="13" borderId="8" xfId="0" applyFont="1" applyFill="1" applyBorder="1" applyAlignment="1">
      <alignment horizontal="center" vertical="center" wrapText="1"/>
    </xf>
    <xf numFmtId="0" fontId="10" fillId="13" borderId="10" xfId="0" applyFont="1" applyFill="1" applyBorder="1" applyAlignment="1">
      <alignment horizontal="center" vertical="center" wrapText="1"/>
    </xf>
    <xf numFmtId="0" fontId="10" fillId="13" borderId="9" xfId="0" applyFont="1" applyFill="1" applyBorder="1" applyAlignment="1">
      <alignment horizontal="center" vertical="center" wrapText="1"/>
    </xf>
    <xf numFmtId="0" fontId="4" fillId="3" borderId="2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10" fillId="14" borderId="24" xfId="0" applyFont="1" applyFill="1" applyBorder="1" applyAlignment="1">
      <alignment horizontal="center" vertical="center" wrapText="1"/>
    </xf>
    <xf numFmtId="0" fontId="10" fillId="14" borderId="5" xfId="0" applyFont="1" applyFill="1" applyBorder="1" applyAlignment="1">
      <alignment horizontal="center" vertical="center" wrapText="1"/>
    </xf>
    <xf numFmtId="0" fontId="10" fillId="14" borderId="11" xfId="0" applyFont="1" applyFill="1" applyBorder="1" applyAlignment="1">
      <alignment horizontal="center" vertical="center" wrapText="1"/>
    </xf>
    <xf numFmtId="0" fontId="4" fillId="3" borderId="23" xfId="0" applyFont="1" applyFill="1" applyBorder="1" applyAlignment="1">
      <alignment horizontal="left" vertical="center" wrapText="1"/>
    </xf>
    <xf numFmtId="0" fontId="4" fillId="3" borderId="0" xfId="0" applyFont="1" applyFill="1" applyAlignment="1">
      <alignment horizontal="left" vertical="center" wrapText="1"/>
    </xf>
    <xf numFmtId="0" fontId="4" fillId="3" borderId="7" xfId="0" applyFont="1" applyFill="1" applyBorder="1" applyAlignment="1">
      <alignment horizontal="left" vertical="center" wrapText="1"/>
    </xf>
    <xf numFmtId="0" fontId="10" fillId="21" borderId="8" xfId="0" applyFont="1" applyFill="1" applyBorder="1" applyAlignment="1">
      <alignment horizontal="center" vertical="center" wrapText="1"/>
    </xf>
    <xf numFmtId="0" fontId="10" fillId="21" borderId="10" xfId="0" applyFont="1" applyFill="1" applyBorder="1" applyAlignment="1">
      <alignment horizontal="center" vertical="center" wrapText="1"/>
    </xf>
    <xf numFmtId="0" fontId="10" fillId="21" borderId="9" xfId="0" applyFont="1" applyFill="1" applyBorder="1" applyAlignment="1">
      <alignment horizontal="center" vertical="center" wrapText="1"/>
    </xf>
    <xf numFmtId="0" fontId="36" fillId="22" borderId="8" xfId="0" applyFont="1" applyFill="1" applyBorder="1" applyAlignment="1">
      <alignment horizontal="center" vertical="center" wrapText="1"/>
    </xf>
    <xf numFmtId="0" fontId="36" fillId="22" borderId="10" xfId="0" applyFont="1" applyFill="1" applyBorder="1" applyAlignment="1">
      <alignment horizontal="center" vertical="center" wrapText="1"/>
    </xf>
    <xf numFmtId="0" fontId="36" fillId="22" borderId="9" xfId="0" applyFont="1" applyFill="1" applyBorder="1" applyAlignment="1">
      <alignment horizontal="center" vertical="center" wrapText="1"/>
    </xf>
    <xf numFmtId="0" fontId="32" fillId="17" borderId="8" xfId="0" applyFont="1" applyFill="1" applyBorder="1" applyAlignment="1">
      <alignment horizontal="center" vertical="center" wrapText="1"/>
    </xf>
    <xf numFmtId="0" fontId="32" fillId="17" borderId="10" xfId="0" applyFont="1" applyFill="1" applyBorder="1" applyAlignment="1">
      <alignment horizontal="center" vertical="center" wrapText="1"/>
    </xf>
    <xf numFmtId="0" fontId="37" fillId="18" borderId="8" xfId="0" applyFont="1" applyFill="1" applyBorder="1" applyAlignment="1">
      <alignment horizontal="center" vertical="center" wrapText="1"/>
    </xf>
    <xf numFmtId="0" fontId="37" fillId="18" borderId="10" xfId="0" applyFont="1" applyFill="1" applyBorder="1" applyAlignment="1">
      <alignment horizontal="center" vertical="center" wrapText="1"/>
    </xf>
    <xf numFmtId="0" fontId="32" fillId="19" borderId="8" xfId="0" applyFont="1" applyFill="1" applyBorder="1" applyAlignment="1">
      <alignment horizontal="center" vertical="center" wrapText="1"/>
    </xf>
    <xf numFmtId="0" fontId="32" fillId="19" borderId="10" xfId="0" applyFont="1" applyFill="1" applyBorder="1" applyAlignment="1">
      <alignment horizontal="center" vertical="center" wrapText="1"/>
    </xf>
    <xf numFmtId="0" fontId="32" fillId="19" borderId="9" xfId="0" applyFont="1" applyFill="1" applyBorder="1" applyAlignment="1">
      <alignment horizontal="center" vertical="center" wrapText="1"/>
    </xf>
    <xf numFmtId="0" fontId="32" fillId="20" borderId="31" xfId="0" applyFont="1" applyFill="1" applyBorder="1" applyAlignment="1">
      <alignment horizontal="center" vertical="center" wrapText="1"/>
    </xf>
    <xf numFmtId="0" fontId="32" fillId="20" borderId="6" xfId="0" applyFont="1" applyFill="1" applyBorder="1" applyAlignment="1">
      <alignment horizontal="center" vertical="center" wrapText="1"/>
    </xf>
    <xf numFmtId="0" fontId="32" fillId="17" borderId="2" xfId="0" applyFont="1" applyFill="1" applyBorder="1" applyAlignment="1">
      <alignment horizontal="left" vertical="center" wrapText="1"/>
    </xf>
    <xf numFmtId="0" fontId="32" fillId="17" borderId="3" xfId="0" applyFont="1" applyFill="1" applyBorder="1" applyAlignment="1">
      <alignment horizontal="left" vertical="center" wrapText="1"/>
    </xf>
    <xf numFmtId="0" fontId="32" fillId="17" borderId="4" xfId="0" applyFont="1" applyFill="1" applyBorder="1" applyAlignment="1">
      <alignment horizontal="left" vertical="center" wrapText="1"/>
    </xf>
    <xf numFmtId="0" fontId="37" fillId="18" borderId="2" xfId="0" applyFont="1" applyFill="1" applyBorder="1" applyAlignment="1">
      <alignment horizontal="left" vertical="center" wrapText="1"/>
    </xf>
    <xf numFmtId="0" fontId="37" fillId="18" borderId="3" xfId="0" applyFont="1" applyFill="1" applyBorder="1" applyAlignment="1">
      <alignment horizontal="left" vertical="center" wrapText="1"/>
    </xf>
    <xf numFmtId="0" fontId="37" fillId="18" borderId="4" xfId="0" applyFont="1" applyFill="1" applyBorder="1" applyAlignment="1">
      <alignment horizontal="left" vertical="center" wrapText="1"/>
    </xf>
    <xf numFmtId="0" fontId="32" fillId="19" borderId="2" xfId="0" applyFont="1" applyFill="1" applyBorder="1" applyAlignment="1">
      <alignment horizontal="left" vertical="center" wrapText="1"/>
    </xf>
    <xf numFmtId="0" fontId="32" fillId="19" borderId="3" xfId="0" applyFont="1" applyFill="1" applyBorder="1" applyAlignment="1">
      <alignment horizontal="left" vertical="center"/>
    </xf>
    <xf numFmtId="0" fontId="32" fillId="19" borderId="4" xfId="0" applyFont="1" applyFill="1" applyBorder="1" applyAlignment="1">
      <alignment horizontal="left" vertical="center"/>
    </xf>
    <xf numFmtId="0" fontId="32" fillId="20" borderId="2" xfId="0" applyFont="1" applyFill="1" applyBorder="1" applyAlignment="1">
      <alignment horizontal="left" vertical="top"/>
    </xf>
    <xf numFmtId="0" fontId="32" fillId="20" borderId="3" xfId="0" applyFont="1" applyFill="1" applyBorder="1" applyAlignment="1">
      <alignment horizontal="left" vertical="top"/>
    </xf>
    <xf numFmtId="0" fontId="32" fillId="20" borderId="4" xfId="0" applyFont="1" applyFill="1" applyBorder="1" applyAlignment="1">
      <alignment horizontal="left" vertical="top"/>
    </xf>
    <xf numFmtId="0" fontId="0" fillId="0" borderId="29" xfId="0" applyBorder="1" applyAlignment="1">
      <alignment horizontal="left" vertical="center" wrapText="1"/>
    </xf>
    <xf numFmtId="0" fontId="0" fillId="0" borderId="29" xfId="0" applyBorder="1" applyAlignment="1">
      <alignment horizontal="left" vertical="center"/>
    </xf>
    <xf numFmtId="0" fontId="0" fillId="0" borderId="52" xfId="0" applyBorder="1" applyAlignment="1">
      <alignment horizontal="left" vertical="center"/>
    </xf>
    <xf numFmtId="0" fontId="46" fillId="8" borderId="18" xfId="0" applyFont="1" applyFill="1" applyBorder="1" applyAlignment="1">
      <alignment horizontal="center" vertical="center" textRotation="90"/>
    </xf>
    <xf numFmtId="0" fontId="46" fillId="8" borderId="21" xfId="0" applyFont="1" applyFill="1" applyBorder="1" applyAlignment="1">
      <alignment horizontal="center" vertical="center" textRotation="90"/>
    </xf>
    <xf numFmtId="0" fontId="47" fillId="8" borderId="50" xfId="0" applyFont="1" applyFill="1" applyBorder="1" applyAlignment="1">
      <alignment horizontal="left" vertical="center"/>
    </xf>
    <xf numFmtId="0" fontId="47" fillId="8" borderId="51" xfId="0" applyFont="1" applyFill="1" applyBorder="1" applyAlignment="1">
      <alignment horizontal="left" vertical="center"/>
    </xf>
    <xf numFmtId="0" fontId="0" fillId="0" borderId="52" xfId="0" applyBorder="1" applyAlignment="1">
      <alignment horizontal="left" vertical="center" wrapText="1"/>
    </xf>
    <xf numFmtId="0" fontId="13" fillId="23" borderId="48" xfId="0" applyFont="1" applyFill="1" applyBorder="1" applyAlignment="1">
      <alignment horizontal="left" vertical="center"/>
    </xf>
    <xf numFmtId="0" fontId="13" fillId="23" borderId="12" xfId="0" applyFont="1" applyFill="1" applyBorder="1" applyAlignment="1">
      <alignment horizontal="left" vertical="center"/>
    </xf>
    <xf numFmtId="0" fontId="13" fillId="23" borderId="14" xfId="0" applyFont="1" applyFill="1" applyBorder="1" applyAlignment="1">
      <alignment horizontal="left" vertical="center"/>
    </xf>
    <xf numFmtId="0" fontId="48" fillId="0" borderId="49" xfId="0" applyFont="1" applyBorder="1" applyAlignment="1">
      <alignment horizontal="left" vertical="center"/>
    </xf>
    <xf numFmtId="0" fontId="48" fillId="0" borderId="16" xfId="0" applyFont="1" applyBorder="1" applyAlignment="1">
      <alignment horizontal="left" vertical="center"/>
    </xf>
    <xf numFmtId="0" fontId="48" fillId="0" borderId="17" xfId="0" applyFont="1" applyBorder="1" applyAlignment="1">
      <alignment horizontal="left" vertical="center"/>
    </xf>
    <xf numFmtId="0" fontId="11" fillId="0" borderId="1" xfId="0" applyFont="1" applyBorder="1" applyAlignment="1">
      <alignment horizontal="left" vertical="center"/>
    </xf>
    <xf numFmtId="0" fontId="18" fillId="2" borderId="1" xfId="0" applyFont="1" applyFill="1" applyBorder="1" applyAlignment="1">
      <alignment horizontal="left" vertical="center" wrapText="1"/>
    </xf>
    <xf numFmtId="0" fontId="18" fillId="2" borderId="1" xfId="0" applyFont="1" applyFill="1" applyBorder="1" applyAlignment="1">
      <alignment horizontal="left" vertical="center"/>
    </xf>
    <xf numFmtId="0" fontId="48" fillId="0" borderId="0" xfId="0" applyFont="1" applyBorder="1" applyAlignment="1">
      <alignment horizontal="left" vertical="center"/>
    </xf>
    <xf numFmtId="0" fontId="0" fillId="2" borderId="0" xfId="0" applyFill="1" applyAlignment="1">
      <alignmen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49" fillId="16" borderId="2" xfId="0" applyFont="1" applyFill="1" applyBorder="1" applyAlignment="1">
      <alignment horizontal="left" vertical="center" wrapText="1"/>
    </xf>
    <xf numFmtId="0" fontId="49" fillId="16" borderId="3" xfId="0" applyFont="1" applyFill="1" applyBorder="1" applyAlignment="1">
      <alignment horizontal="left" vertical="center" wrapText="1"/>
    </xf>
    <xf numFmtId="0" fontId="49" fillId="16" borderId="4" xfId="0" applyFont="1" applyFill="1" applyBorder="1" applyAlignment="1">
      <alignment horizontal="left" vertical="center" wrapText="1"/>
    </xf>
    <xf numFmtId="0" fontId="50" fillId="16" borderId="2" xfId="0" applyFont="1" applyFill="1" applyBorder="1" applyAlignment="1">
      <alignment horizontal="left" vertical="center" wrapText="1"/>
    </xf>
    <xf numFmtId="0" fontId="50" fillId="16" borderId="3" xfId="0" applyFont="1" applyFill="1" applyBorder="1" applyAlignment="1">
      <alignment horizontal="left" vertical="center" wrapText="1"/>
    </xf>
    <xf numFmtId="0" fontId="50" fillId="16" borderId="4" xfId="0" applyFont="1" applyFill="1" applyBorder="1" applyAlignment="1">
      <alignment horizontal="left" vertical="center" wrapText="1"/>
    </xf>
    <xf numFmtId="0" fontId="46" fillId="8" borderId="6" xfId="0" applyFont="1" applyFill="1" applyBorder="1" applyAlignment="1">
      <alignment horizontal="center" vertical="center" textRotation="90"/>
    </xf>
    <xf numFmtId="0" fontId="35" fillId="23" borderId="1" xfId="0" applyFont="1" applyFill="1" applyBorder="1" applyAlignment="1">
      <alignment horizontal="center" vertical="center"/>
    </xf>
    <xf numFmtId="0" fontId="35" fillId="23" borderId="1" xfId="0" applyFont="1" applyFill="1" applyBorder="1" applyAlignment="1">
      <alignment horizontal="center" vertical="center" wrapText="1"/>
    </xf>
    <xf numFmtId="0" fontId="49" fillId="16" borderId="1" xfId="0" applyFont="1" applyFill="1" applyBorder="1" applyAlignment="1">
      <alignment horizontal="left" vertical="center" wrapText="1"/>
    </xf>
    <xf numFmtId="0" fontId="0" fillId="2" borderId="1" xfId="0" applyFill="1" applyBorder="1" applyAlignment="1">
      <alignment horizontal="left" vertical="center" wrapText="1"/>
    </xf>
    <xf numFmtId="0" fontId="11" fillId="23" borderId="1" xfId="0" applyFont="1" applyFill="1" applyBorder="1" applyAlignment="1">
      <alignment horizontal="center" vertical="center"/>
    </xf>
    <xf numFmtId="0" fontId="11" fillId="2" borderId="1" xfId="0" applyFont="1" applyFill="1" applyBorder="1" applyAlignment="1">
      <alignment horizontal="center" vertical="center"/>
    </xf>
    <xf numFmtId="0" fontId="2" fillId="25" borderId="20" xfId="0" applyFont="1" applyFill="1" applyBorder="1" applyAlignment="1">
      <alignment horizontal="center" vertical="center" wrapText="1"/>
    </xf>
    <xf numFmtId="0" fontId="0" fillId="2" borderId="32" xfId="0" applyFill="1" applyBorder="1" applyAlignment="1">
      <alignment horizontal="center" vertical="center" wrapText="1"/>
    </xf>
    <xf numFmtId="0" fontId="0" fillId="2" borderId="34" xfId="0" applyFill="1" applyBorder="1" applyAlignment="1">
      <alignment horizontal="center" vertical="center" wrapText="1"/>
    </xf>
    <xf numFmtId="0" fontId="0" fillId="2" borderId="35" xfId="0" applyFill="1" applyBorder="1" applyAlignment="1">
      <alignment horizontal="center" vertical="center" wrapText="1"/>
    </xf>
    <xf numFmtId="0" fontId="0" fillId="2" borderId="27" xfId="0" applyFill="1" applyBorder="1" applyAlignment="1">
      <alignment horizontal="center" vertical="center" wrapText="1"/>
    </xf>
    <xf numFmtId="0" fontId="2" fillId="23" borderId="27" xfId="0" applyFont="1" applyFill="1" applyBorder="1" applyAlignment="1">
      <alignment horizontal="center" vertical="center" wrapText="1"/>
    </xf>
    <xf numFmtId="0" fontId="2" fillId="23" borderId="26" xfId="0" applyFont="1" applyFill="1" applyBorder="1" applyAlignment="1">
      <alignment horizontal="center" vertical="center" wrapText="1"/>
    </xf>
    <xf numFmtId="0" fontId="0" fillId="2" borderId="32" xfId="0" applyFill="1" applyBorder="1" applyAlignment="1">
      <alignment horizontal="center" vertical="center" wrapText="1"/>
    </xf>
    <xf numFmtId="0" fontId="0" fillId="2" borderId="28"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26" xfId="0" applyFill="1" applyBorder="1" applyAlignment="1">
      <alignment horizontal="center" vertical="center" wrapText="1"/>
    </xf>
    <xf numFmtId="0" fontId="37" fillId="22" borderId="28" xfId="0" applyFont="1" applyFill="1" applyBorder="1" applyAlignment="1">
      <alignment horizontal="center" vertical="center" wrapText="1"/>
    </xf>
    <xf numFmtId="0" fontId="37" fillId="22" borderId="27" xfId="0" applyFont="1" applyFill="1" applyBorder="1" applyAlignment="1">
      <alignment horizontal="center" vertical="center" wrapText="1"/>
    </xf>
    <xf numFmtId="0" fontId="37" fillId="22" borderId="26" xfId="0" applyFont="1" applyFill="1" applyBorder="1" applyAlignment="1">
      <alignment horizontal="center" vertical="center" wrapText="1"/>
    </xf>
    <xf numFmtId="0" fontId="0" fillId="2" borderId="18" xfId="0" applyFill="1" applyBorder="1" applyAlignment="1">
      <alignment horizontal="center" vertical="center"/>
    </xf>
    <xf numFmtId="0" fontId="0" fillId="2" borderId="20" xfId="0" applyFill="1" applyBorder="1" applyAlignment="1">
      <alignment horizontal="center" vertical="center"/>
    </xf>
    <xf numFmtId="0" fontId="0" fillId="2" borderId="21" xfId="0" applyFill="1" applyBorder="1" applyAlignment="1">
      <alignment horizontal="center" vertical="center"/>
    </xf>
    <xf numFmtId="0" fontId="0" fillId="2" borderId="58" xfId="0" applyFill="1" applyBorder="1" applyAlignment="1">
      <alignment horizontal="left" vertical="center"/>
    </xf>
    <xf numFmtId="0" fontId="0" fillId="2" borderId="0" xfId="0" applyFill="1" applyBorder="1" applyAlignment="1">
      <alignment horizontal="center" vertical="center"/>
    </xf>
    <xf numFmtId="0" fontId="0" fillId="2" borderId="50" xfId="0" applyFill="1" applyBorder="1" applyAlignment="1">
      <alignment horizontal="center" vertical="center"/>
    </xf>
    <xf numFmtId="0" fontId="0" fillId="2" borderId="29" xfId="0" applyFill="1" applyBorder="1" applyAlignment="1">
      <alignment horizontal="center" vertical="center"/>
    </xf>
    <xf numFmtId="0" fontId="0" fillId="2" borderId="62" xfId="0" applyFill="1" applyBorder="1" applyAlignment="1">
      <alignment horizontal="left" vertical="center"/>
    </xf>
    <xf numFmtId="0" fontId="0" fillId="2" borderId="60" xfId="0" applyFill="1" applyBorder="1" applyAlignment="1">
      <alignment horizontal="left" vertical="center"/>
    </xf>
    <xf numFmtId="0" fontId="2" fillId="24" borderId="18" xfId="0" applyFont="1" applyFill="1" applyBorder="1" applyAlignment="1">
      <alignment horizontal="center" vertical="center" wrapText="1"/>
    </xf>
    <xf numFmtId="0" fontId="2" fillId="24" borderId="20" xfId="0" applyFont="1" applyFill="1" applyBorder="1" applyAlignment="1">
      <alignment horizontal="center" vertical="center" wrapText="1"/>
    </xf>
    <xf numFmtId="0" fontId="15" fillId="2" borderId="1" xfId="0" applyFont="1" applyFill="1" applyBorder="1" applyAlignment="1">
      <alignment horizontal="center" vertical="center"/>
    </xf>
    <xf numFmtId="0" fontId="2" fillId="24" borderId="21" xfId="0" applyFont="1" applyFill="1" applyBorder="1" applyAlignment="1">
      <alignment horizontal="center" vertical="center" wrapText="1"/>
    </xf>
    <xf numFmtId="0" fontId="0" fillId="2" borderId="34" xfId="0" applyFill="1" applyBorder="1" applyAlignment="1">
      <alignment horizontal="center" vertical="center" wrapText="1"/>
    </xf>
    <xf numFmtId="0" fontId="0" fillId="2" borderId="35" xfId="0" applyFill="1" applyBorder="1" applyAlignment="1">
      <alignment horizontal="center" vertical="center" wrapText="1"/>
    </xf>
    <xf numFmtId="0" fontId="0" fillId="2" borderId="54" xfId="0" applyFill="1" applyBorder="1" applyAlignment="1">
      <alignment horizontal="center" vertical="center"/>
    </xf>
    <xf numFmtId="0" fontId="0" fillId="2" borderId="55" xfId="0" applyFill="1" applyBorder="1" applyAlignment="1">
      <alignment horizontal="center" vertical="center"/>
    </xf>
    <xf numFmtId="0" fontId="0" fillId="2" borderId="56" xfId="0" applyFill="1" applyBorder="1" applyAlignment="1">
      <alignment horizontal="center" vertical="center"/>
    </xf>
    <xf numFmtId="0" fontId="0" fillId="0" borderId="0" xfId="0" applyAlignment="1">
      <alignment horizontal="center"/>
    </xf>
    <xf numFmtId="0" fontId="47" fillId="8" borderId="0" xfId="0" applyFont="1" applyFill="1" applyBorder="1" applyAlignment="1">
      <alignment horizontal="center" vertical="center" wrapText="1"/>
    </xf>
    <xf numFmtId="0" fontId="47" fillId="8" borderId="0" xfId="0" applyFont="1" applyFill="1" applyAlignment="1">
      <alignment horizontal="center"/>
    </xf>
    <xf numFmtId="0" fontId="0" fillId="8" borderId="0" xfId="0" applyFill="1" applyAlignment="1">
      <alignment horizontal="center"/>
    </xf>
    <xf numFmtId="0" fontId="17" fillId="2" borderId="4" xfId="0" applyFont="1" applyFill="1" applyBorder="1" applyAlignment="1">
      <alignment horizontal="center" vertical="center"/>
    </xf>
    <xf numFmtId="0" fontId="11" fillId="2" borderId="0" xfId="0" applyFont="1" applyFill="1" applyAlignment="1">
      <alignment horizontal="center"/>
    </xf>
    <xf numFmtId="0" fontId="0" fillId="7" borderId="1" xfId="0" applyFill="1" applyBorder="1" applyAlignment="1">
      <alignment horizontal="center" vertical="center" wrapText="1"/>
    </xf>
    <xf numFmtId="0" fontId="0" fillId="7" borderId="16" xfId="0" applyFill="1" applyBorder="1" applyAlignment="1">
      <alignment horizontal="center" vertical="center" wrapText="1"/>
    </xf>
    <xf numFmtId="0" fontId="0" fillId="7" borderId="12" xfId="0" applyFill="1" applyBorder="1" applyAlignment="1">
      <alignment horizontal="center" vertical="center" wrapText="1"/>
    </xf>
    <xf numFmtId="0" fontId="0" fillId="7" borderId="8" xfId="0" applyFill="1" applyBorder="1" applyAlignment="1">
      <alignment horizontal="center" vertical="center" wrapText="1"/>
    </xf>
    <xf numFmtId="0" fontId="47" fillId="8" borderId="3" xfId="0" applyFont="1" applyFill="1" applyBorder="1" applyAlignment="1">
      <alignment horizontal="center" vertical="center" wrapText="1"/>
    </xf>
    <xf numFmtId="0" fontId="47" fillId="8" borderId="36" xfId="0" applyFont="1" applyFill="1" applyBorder="1" applyAlignment="1">
      <alignment horizontal="center" vertical="center" wrapText="1"/>
    </xf>
    <xf numFmtId="0" fontId="47" fillId="8" borderId="30" xfId="0" applyFont="1" applyFill="1" applyBorder="1" applyAlignment="1">
      <alignment horizontal="center" vertical="center" wrapText="1"/>
    </xf>
    <xf numFmtId="0" fontId="47" fillId="8" borderId="23" xfId="0" applyFont="1" applyFill="1" applyBorder="1" applyAlignment="1">
      <alignment horizontal="center" vertical="center" wrapText="1"/>
    </xf>
    <xf numFmtId="0" fontId="0" fillId="2" borderId="53" xfId="0" applyFill="1" applyBorder="1" applyAlignment="1">
      <alignment horizontal="center" vertical="center" wrapText="1"/>
    </xf>
    <xf numFmtId="0" fontId="0" fillId="7" borderId="57" xfId="0" applyFill="1" applyBorder="1" applyAlignment="1">
      <alignment horizontal="center" vertical="center" wrapText="1"/>
    </xf>
    <xf numFmtId="0" fontId="0" fillId="7" borderId="15" xfId="0" applyFill="1" applyBorder="1" applyAlignment="1">
      <alignment horizontal="center" vertical="center" wrapText="1"/>
    </xf>
    <xf numFmtId="0" fontId="0" fillId="7" borderId="49" xfId="0" applyFill="1" applyBorder="1" applyAlignment="1">
      <alignment horizontal="center" vertical="center" wrapText="1"/>
    </xf>
    <xf numFmtId="0" fontId="0" fillId="7" borderId="17" xfId="0" applyFill="1" applyBorder="1" applyAlignment="1">
      <alignment horizontal="center" vertical="center" wrapText="1"/>
    </xf>
    <xf numFmtId="0" fontId="0" fillId="7" borderId="48" xfId="0" applyFill="1" applyBorder="1" applyAlignment="1">
      <alignment horizontal="center" vertical="center" wrapText="1"/>
    </xf>
    <xf numFmtId="0" fontId="0" fillId="7" borderId="14" xfId="0" applyFill="1" applyBorder="1" applyAlignment="1">
      <alignment horizontal="center" vertical="center" wrapText="1"/>
    </xf>
    <xf numFmtId="0" fontId="0" fillId="7" borderId="59" xfId="0" applyFill="1" applyBorder="1" applyAlignment="1">
      <alignment horizontal="center" vertical="center" wrapText="1"/>
    </xf>
    <xf numFmtId="0" fontId="0" fillId="7" borderId="60" xfId="0" applyFill="1" applyBorder="1" applyAlignment="1">
      <alignment horizontal="center" vertical="center" wrapText="1"/>
    </xf>
    <xf numFmtId="0" fontId="0" fillId="26" borderId="34" xfId="0" applyFill="1" applyBorder="1" applyAlignment="1">
      <alignment horizontal="center" vertical="center" wrapText="1"/>
    </xf>
    <xf numFmtId="0" fontId="0" fillId="26" borderId="35" xfId="0" applyFill="1" applyBorder="1" applyAlignment="1">
      <alignment horizontal="center" vertical="center" wrapText="1"/>
    </xf>
    <xf numFmtId="0" fontId="0" fillId="26" borderId="32" xfId="0" applyFill="1" applyBorder="1" applyAlignment="1">
      <alignment horizontal="center" vertical="center" wrapText="1"/>
    </xf>
    <xf numFmtId="0" fontId="0" fillId="26" borderId="53" xfId="0" applyFill="1" applyBorder="1" applyAlignment="1">
      <alignment horizontal="center" vertical="center" wrapText="1"/>
    </xf>
    <xf numFmtId="0" fontId="0" fillId="7" borderId="64" xfId="0" applyFill="1" applyBorder="1" applyAlignment="1">
      <alignment horizontal="center" vertical="center" wrapText="1"/>
    </xf>
    <xf numFmtId="0" fontId="0" fillId="7" borderId="10" xfId="0" applyFill="1" applyBorder="1" applyAlignment="1">
      <alignment horizontal="center" vertical="center" wrapText="1"/>
    </xf>
    <xf numFmtId="0" fontId="0" fillId="7" borderId="58" xfId="0" applyFill="1" applyBorder="1" applyAlignment="1">
      <alignment horizontal="center" vertical="center" wrapText="1"/>
    </xf>
    <xf numFmtId="0" fontId="0" fillId="26" borderId="27" xfId="0" applyFill="1" applyBorder="1" applyAlignment="1">
      <alignment horizontal="center" vertical="center" wrapText="1"/>
    </xf>
    <xf numFmtId="0" fontId="2" fillId="8" borderId="50" xfId="0" applyFont="1" applyFill="1" applyBorder="1" applyAlignment="1">
      <alignment horizontal="center" vertical="center" wrapText="1"/>
    </xf>
    <xf numFmtId="0" fontId="2" fillId="8" borderId="19" xfId="0" applyFont="1" applyFill="1" applyBorder="1" applyAlignment="1">
      <alignment horizontal="center" vertical="center" wrapText="1"/>
    </xf>
    <xf numFmtId="0" fontId="51" fillId="12" borderId="16" xfId="0" applyFont="1" applyFill="1" applyBorder="1" applyAlignment="1">
      <alignment horizontal="center" vertical="center" wrapText="1"/>
    </xf>
    <xf numFmtId="0" fontId="53" fillId="8" borderId="16" xfId="0" applyFont="1" applyFill="1" applyBorder="1" applyAlignment="1">
      <alignment horizontal="center" vertical="center" wrapText="1"/>
    </xf>
    <xf numFmtId="0" fontId="12" fillId="11" borderId="13" xfId="0" applyFont="1" applyFill="1" applyBorder="1" applyAlignment="1">
      <alignment horizontal="center" vertical="center"/>
    </xf>
    <xf numFmtId="0" fontId="51" fillId="27" borderId="16" xfId="0" applyFont="1" applyFill="1" applyBorder="1" applyAlignment="1">
      <alignment horizontal="center" vertical="center" wrapText="1"/>
    </xf>
    <xf numFmtId="0" fontId="12" fillId="11" borderId="66" xfId="0" applyFont="1" applyFill="1" applyBorder="1" applyAlignment="1">
      <alignment horizontal="center" vertical="center"/>
    </xf>
    <xf numFmtId="0" fontId="51" fillId="27" borderId="17" xfId="0" applyFont="1" applyFill="1" applyBorder="1" applyAlignment="1">
      <alignment horizontal="center" vertical="center" wrapText="1"/>
    </xf>
    <xf numFmtId="0" fontId="2" fillId="25" borderId="21" xfId="0" applyFont="1" applyFill="1" applyBorder="1" applyAlignment="1">
      <alignment horizontal="center" vertical="center" wrapText="1"/>
    </xf>
    <xf numFmtId="0" fontId="54" fillId="8" borderId="21" xfId="0" applyFont="1" applyFill="1" applyBorder="1" applyAlignment="1">
      <alignment horizontal="center" vertical="center"/>
    </xf>
    <xf numFmtId="0" fontId="54" fillId="8" borderId="22" xfId="0" applyFont="1" applyFill="1" applyBorder="1" applyAlignment="1">
      <alignment horizontal="center" vertical="center"/>
    </xf>
    <xf numFmtId="0" fontId="16" fillId="12" borderId="61" xfId="0" applyFont="1" applyFill="1" applyBorder="1" applyAlignment="1">
      <alignment horizontal="center" vertical="center"/>
    </xf>
    <xf numFmtId="0" fontId="54" fillId="8" borderId="37" xfId="0" applyFont="1" applyFill="1" applyBorder="1" applyAlignment="1">
      <alignment horizontal="right" vertical="center"/>
    </xf>
    <xf numFmtId="0" fontId="54" fillId="8" borderId="29" xfId="0" applyFont="1" applyFill="1" applyBorder="1" applyAlignment="1">
      <alignment horizontal="right" vertical="center"/>
    </xf>
    <xf numFmtId="0" fontId="54" fillId="8" borderId="22" xfId="0" applyFont="1" applyFill="1" applyBorder="1" applyAlignment="1">
      <alignment horizontal="right" vertical="center"/>
    </xf>
    <xf numFmtId="0" fontId="54" fillId="8" borderId="22" xfId="0" applyFont="1" applyFill="1" applyBorder="1" applyAlignment="1">
      <alignment horizontal="center" vertical="center"/>
    </xf>
    <xf numFmtId="0" fontId="54" fillId="8" borderId="38" xfId="0" applyFont="1" applyFill="1" applyBorder="1" applyAlignment="1">
      <alignment horizontal="center" vertical="center"/>
    </xf>
    <xf numFmtId="0" fontId="17" fillId="2" borderId="1" xfId="0" applyFont="1" applyFill="1" applyBorder="1" applyAlignment="1">
      <alignment horizontal="right" vertical="center"/>
    </xf>
    <xf numFmtId="0" fontId="17" fillId="2" borderId="48" xfId="0" applyFont="1" applyFill="1" applyBorder="1" applyAlignment="1">
      <alignment horizontal="center" vertical="center"/>
    </xf>
    <xf numFmtId="0" fontId="17" fillId="2" borderId="14" xfId="0" applyFont="1" applyFill="1" applyBorder="1" applyAlignment="1">
      <alignment horizontal="center" vertical="center"/>
    </xf>
    <xf numFmtId="0" fontId="17" fillId="2" borderId="57" xfId="0" applyFont="1" applyFill="1" applyBorder="1" applyAlignment="1">
      <alignment horizontal="center" vertical="center"/>
    </xf>
    <xf numFmtId="0" fontId="17" fillId="2" borderId="15" xfId="0" applyFont="1" applyFill="1" applyBorder="1" applyAlignment="1">
      <alignment horizontal="center" vertical="center"/>
    </xf>
    <xf numFmtId="0" fontId="17" fillId="2" borderId="49" xfId="0" applyFont="1" applyFill="1" applyBorder="1" applyAlignment="1">
      <alignment horizontal="center" vertical="center"/>
    </xf>
    <xf numFmtId="0" fontId="17" fillId="2" borderId="17" xfId="0" applyFont="1" applyFill="1" applyBorder="1" applyAlignment="1">
      <alignment horizontal="center" vertical="center"/>
    </xf>
    <xf numFmtId="0" fontId="17" fillId="2" borderId="48" xfId="0" applyFont="1" applyFill="1" applyBorder="1" applyAlignment="1">
      <alignment horizontal="right" vertical="center"/>
    </xf>
    <xf numFmtId="0" fontId="17" fillId="2" borderId="12" xfId="0" applyFont="1" applyFill="1" applyBorder="1" applyAlignment="1">
      <alignment horizontal="right" vertical="center"/>
    </xf>
    <xf numFmtId="0" fontId="17" fillId="2" borderId="14" xfId="0" applyFont="1" applyFill="1" applyBorder="1" applyAlignment="1">
      <alignment horizontal="right" vertical="center"/>
    </xf>
    <xf numFmtId="0" fontId="17" fillId="2" borderId="57" xfId="0" applyFont="1" applyFill="1" applyBorder="1" applyAlignment="1">
      <alignment horizontal="right" vertical="center"/>
    </xf>
    <xf numFmtId="0" fontId="17" fillId="2" borderId="15" xfId="0" applyFont="1" applyFill="1" applyBorder="1" applyAlignment="1">
      <alignment horizontal="right" vertical="center"/>
    </xf>
    <xf numFmtId="0" fontId="17" fillId="2" borderId="49" xfId="0" applyFont="1" applyFill="1" applyBorder="1" applyAlignment="1">
      <alignment horizontal="right" vertical="center"/>
    </xf>
    <xf numFmtId="0" fontId="17" fillId="2" borderId="16" xfId="0" applyFont="1" applyFill="1" applyBorder="1" applyAlignment="1">
      <alignment horizontal="right" vertical="center"/>
    </xf>
    <xf numFmtId="0" fontId="17" fillId="2" borderId="17" xfId="0" applyFont="1" applyFill="1" applyBorder="1" applyAlignment="1">
      <alignment horizontal="right" vertical="center"/>
    </xf>
    <xf numFmtId="0" fontId="17" fillId="2" borderId="3" xfId="0" applyFont="1" applyFill="1" applyBorder="1" applyAlignment="1">
      <alignment horizontal="center" vertical="center"/>
    </xf>
    <xf numFmtId="0" fontId="52" fillId="12" borderId="18" xfId="0" applyFont="1" applyFill="1" applyBorder="1" applyAlignment="1">
      <alignment horizontal="center" vertical="center"/>
    </xf>
    <xf numFmtId="0" fontId="52" fillId="12" borderId="19" xfId="0" applyFont="1" applyFill="1" applyBorder="1" applyAlignment="1">
      <alignment horizontal="center" vertical="center"/>
    </xf>
    <xf numFmtId="0" fontId="52" fillId="12" borderId="61" xfId="0" applyFont="1" applyFill="1" applyBorder="1" applyAlignment="1">
      <alignment horizontal="left" vertical="center" wrapText="1"/>
    </xf>
    <xf numFmtId="0" fontId="52" fillId="12" borderId="61" xfId="0" applyFont="1" applyFill="1" applyBorder="1" applyAlignment="1">
      <alignment horizontal="left" vertical="center"/>
    </xf>
    <xf numFmtId="0" fontId="17" fillId="26" borderId="1" xfId="0" applyFont="1" applyFill="1" applyBorder="1" applyAlignment="1">
      <alignment horizontal="center" vertical="center"/>
    </xf>
    <xf numFmtId="0" fontId="51" fillId="23" borderId="16" xfId="0" applyFont="1" applyFill="1" applyBorder="1" applyAlignment="1">
      <alignment horizontal="center" vertical="center" wrapText="1"/>
    </xf>
    <xf numFmtId="0" fontId="53" fillId="23" borderId="16" xfId="0" applyFont="1" applyFill="1" applyBorder="1" applyAlignment="1">
      <alignment horizontal="center" vertical="center" wrapText="1"/>
    </xf>
    <xf numFmtId="0" fontId="2" fillId="8" borderId="65" xfId="0" applyFont="1" applyFill="1" applyBorder="1" applyAlignment="1">
      <alignment horizontal="center" vertical="center" wrapText="1"/>
    </xf>
    <xf numFmtId="0" fontId="2" fillId="8" borderId="50" xfId="0" applyFont="1" applyFill="1" applyBorder="1" applyAlignment="1">
      <alignment horizontal="center" vertical="center" wrapText="1"/>
    </xf>
    <xf numFmtId="0" fontId="2" fillId="8" borderId="19" xfId="0" applyFont="1" applyFill="1" applyBorder="1" applyAlignment="1">
      <alignment horizontal="center" vertical="center" wrapText="1"/>
    </xf>
    <xf numFmtId="0" fontId="2" fillId="8" borderId="63" xfId="0" applyFont="1" applyFill="1" applyBorder="1" applyAlignment="1">
      <alignment horizontal="center" vertical="center" wrapText="1"/>
    </xf>
    <xf numFmtId="0" fontId="2" fillId="8" borderId="67" xfId="0" applyFont="1" applyFill="1" applyBorder="1" applyAlignment="1">
      <alignment horizontal="center" vertical="center" wrapText="1"/>
    </xf>
    <xf numFmtId="0" fontId="51" fillId="23" borderId="16" xfId="0" applyFont="1" applyFill="1" applyBorder="1" applyAlignment="1">
      <alignment horizontal="left" vertical="center" wrapText="1"/>
    </xf>
    <xf numFmtId="0" fontId="13" fillId="2" borderId="0" xfId="0" applyFont="1" applyFill="1" applyBorder="1" applyAlignment="1">
      <alignment vertical="center"/>
    </xf>
    <xf numFmtId="0" fontId="13" fillId="2" borderId="0" xfId="0" applyFont="1" applyFill="1" applyBorder="1" applyAlignment="1">
      <alignment horizontal="right" vertical="center"/>
    </xf>
    <xf numFmtId="0" fontId="13" fillId="2" borderId="1" xfId="0" applyFont="1" applyFill="1" applyBorder="1" applyAlignment="1">
      <alignment horizontal="center" vertical="center"/>
    </xf>
    <xf numFmtId="0" fontId="13" fillId="2" borderId="1" xfId="0" applyFont="1" applyFill="1" applyBorder="1" applyAlignment="1">
      <alignment vertical="center"/>
    </xf>
    <xf numFmtId="0" fontId="0" fillId="2" borderId="0" xfId="0" applyFill="1" applyBorder="1"/>
    <xf numFmtId="0" fontId="13" fillId="8" borderId="63" xfId="0" applyFont="1" applyFill="1" applyBorder="1" applyAlignment="1">
      <alignment horizontal="center" vertical="center"/>
    </xf>
    <xf numFmtId="0" fontId="0" fillId="8" borderId="50" xfId="0" applyFill="1" applyBorder="1"/>
    <xf numFmtId="0" fontId="0" fillId="8" borderId="50" xfId="0" applyFill="1" applyBorder="1" applyAlignment="1">
      <alignment horizontal="center"/>
    </xf>
    <xf numFmtId="0" fontId="0" fillId="8" borderId="51" xfId="0" applyFill="1" applyBorder="1" applyAlignment="1">
      <alignment horizontal="center"/>
    </xf>
    <xf numFmtId="0" fontId="13" fillId="7" borderId="1" xfId="0" applyFont="1" applyFill="1" applyBorder="1" applyAlignment="1">
      <alignment horizontal="right" vertical="center"/>
    </xf>
    <xf numFmtId="0" fontId="15" fillId="2" borderId="48" xfId="0" applyFont="1" applyFill="1" applyBorder="1" applyAlignment="1">
      <alignment horizontal="center" vertical="center"/>
    </xf>
    <xf numFmtId="0" fontId="15" fillId="2" borderId="57" xfId="0" applyFont="1" applyFill="1" applyBorder="1" applyAlignment="1">
      <alignment horizontal="center" vertical="center"/>
    </xf>
    <xf numFmtId="0" fontId="15" fillId="2" borderId="49" xfId="0" applyFont="1" applyFill="1" applyBorder="1" applyAlignment="1">
      <alignment horizontal="center" vertical="center"/>
    </xf>
    <xf numFmtId="0" fontId="17" fillId="26" borderId="22" xfId="0" applyFont="1" applyFill="1" applyBorder="1" applyAlignment="1">
      <alignment horizontal="center" vertical="center"/>
    </xf>
    <xf numFmtId="0" fontId="0" fillId="23" borderId="1" xfId="0" applyFill="1" applyBorder="1" applyAlignment="1">
      <alignment horizontal="center"/>
    </xf>
  </cellXfs>
  <cellStyles count="1">
    <cellStyle name="Normal" xfId="0" builtinId="0"/>
  </cellStyles>
  <dxfs count="7">
    <dxf>
      <fill>
        <patternFill>
          <bgColor theme="6"/>
        </patternFill>
      </fill>
    </dxf>
    <dxf>
      <fill>
        <patternFill>
          <bgColor theme="6"/>
        </patternFill>
      </fill>
    </dxf>
    <dxf>
      <fill>
        <patternFill>
          <bgColor theme="6"/>
        </patternFill>
      </fill>
    </dxf>
    <dxf>
      <fill>
        <patternFill>
          <bgColor theme="5" tint="0.59996337778862885"/>
        </patternFill>
      </fill>
    </dxf>
    <dxf>
      <font>
        <b/>
        <i val="0"/>
        <color auto="1"/>
      </font>
      <fill>
        <patternFill>
          <bgColor rgb="FF92D050"/>
        </patternFill>
      </fill>
    </dxf>
    <dxf>
      <font>
        <b/>
        <i val="0"/>
        <color auto="1"/>
      </font>
      <fill>
        <patternFill>
          <bgColor rgb="FF92D050"/>
        </patternFill>
      </fill>
    </dxf>
    <dxf>
      <font>
        <b/>
        <i val="0"/>
        <color auto="1"/>
      </font>
      <fill>
        <patternFill>
          <bgColor rgb="FF92D050"/>
        </patternFill>
      </fill>
    </dxf>
  </dxfs>
  <tableStyles count="0" defaultTableStyle="TableStyleMedium2" defaultPivotStyle="PivotStyleLight16"/>
  <colors>
    <mruColors>
      <color rgb="FFB8CCE4"/>
      <color rgb="FF4F81BD"/>
      <color rgb="FFCC0000"/>
      <color rgb="FFD65400"/>
      <color rgb="FF57061F"/>
      <color rgb="FF57051F"/>
      <color rgb="FFFF9670"/>
      <color rgb="FFD8E3F0"/>
      <color rgb="FFAEC5E0"/>
      <color rgb="FFAD00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5</xdr:col>
      <xdr:colOff>2118</xdr:colOff>
      <xdr:row>0</xdr:row>
      <xdr:rowOff>49182</xdr:rowOff>
    </xdr:from>
    <xdr:to>
      <xdr:col>5</xdr:col>
      <xdr:colOff>2118</xdr:colOff>
      <xdr:row>0</xdr:row>
      <xdr:rowOff>171229</xdr:rowOff>
    </xdr:to>
    <xdr:grpSp>
      <xdr:nvGrpSpPr>
        <xdr:cNvPr id="4" name="Group 3">
          <a:extLst>
            <a:ext uri="{FF2B5EF4-FFF2-40B4-BE49-F238E27FC236}">
              <a16:creationId xmlns:a16="http://schemas.microsoft.com/office/drawing/2014/main" id="{8920A2C8-A4FB-4965-8573-9E839C4EED66}"/>
            </a:ext>
          </a:extLst>
        </xdr:cNvPr>
        <xdr:cNvGrpSpPr/>
      </xdr:nvGrpSpPr>
      <xdr:grpSpPr>
        <a:xfrm>
          <a:off x="24318082" y="49182"/>
          <a:ext cx="0" cy="122047"/>
          <a:chOff x="10545763" y="2718339"/>
          <a:chExt cx="700087" cy="365126"/>
        </a:xfrm>
        <a:solidFill>
          <a:schemeClr val="tx1">
            <a:lumMod val="50000"/>
          </a:schemeClr>
        </a:solidFill>
      </xdr:grpSpPr>
      <xdr:sp macro="" textlink="">
        <xdr:nvSpPr>
          <xdr:cNvPr id="5" name="Freeform 99">
            <a:extLst>
              <a:ext uri="{FF2B5EF4-FFF2-40B4-BE49-F238E27FC236}">
                <a16:creationId xmlns:a16="http://schemas.microsoft.com/office/drawing/2014/main" id="{F8ADCBAC-F184-FD50-8536-FFD8CEA53A30}"/>
              </a:ext>
            </a:extLst>
          </xdr:cNvPr>
          <xdr:cNvSpPr>
            <a:spLocks/>
          </xdr:cNvSpPr>
        </xdr:nvSpPr>
        <xdr:spPr bwMode="auto">
          <a:xfrm>
            <a:off x="11093450" y="2745327"/>
            <a:ext cx="73025" cy="34925"/>
          </a:xfrm>
          <a:custGeom>
            <a:avLst/>
            <a:gdLst>
              <a:gd name="T0" fmla="*/ 2 w 19"/>
              <a:gd name="T1" fmla="*/ 9 h 9"/>
              <a:gd name="T2" fmla="*/ 18 w 19"/>
              <a:gd name="T3" fmla="*/ 6 h 9"/>
              <a:gd name="T4" fmla="*/ 19 w 19"/>
              <a:gd name="T5" fmla="*/ 5 h 9"/>
              <a:gd name="T6" fmla="*/ 19 w 19"/>
              <a:gd name="T7" fmla="*/ 5 h 9"/>
              <a:gd name="T8" fmla="*/ 11 w 19"/>
              <a:gd name="T9" fmla="*/ 0 h 9"/>
              <a:gd name="T10" fmla="*/ 0 w 19"/>
              <a:gd name="T11" fmla="*/ 8 h 9"/>
              <a:gd name="T12" fmla="*/ 1 w 19"/>
              <a:gd name="T13" fmla="*/ 8 h 9"/>
              <a:gd name="T14" fmla="*/ 2 w 19"/>
              <a:gd name="T15" fmla="*/ 9 h 9"/>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9" h="9">
                <a:moveTo>
                  <a:pt x="2" y="9"/>
                </a:moveTo>
                <a:cubicBezTo>
                  <a:pt x="8" y="9"/>
                  <a:pt x="13" y="8"/>
                  <a:pt x="18" y="6"/>
                </a:cubicBezTo>
                <a:cubicBezTo>
                  <a:pt x="18" y="5"/>
                  <a:pt x="18" y="5"/>
                  <a:pt x="19" y="5"/>
                </a:cubicBezTo>
                <a:cubicBezTo>
                  <a:pt x="19" y="5"/>
                  <a:pt x="19" y="5"/>
                  <a:pt x="19" y="5"/>
                </a:cubicBezTo>
                <a:cubicBezTo>
                  <a:pt x="17" y="2"/>
                  <a:pt x="14" y="0"/>
                  <a:pt x="11" y="0"/>
                </a:cubicBezTo>
                <a:cubicBezTo>
                  <a:pt x="6" y="0"/>
                  <a:pt x="1" y="4"/>
                  <a:pt x="0" y="8"/>
                </a:cubicBezTo>
                <a:cubicBezTo>
                  <a:pt x="0" y="8"/>
                  <a:pt x="1" y="8"/>
                  <a:pt x="1" y="8"/>
                </a:cubicBezTo>
                <a:cubicBezTo>
                  <a:pt x="1" y="9"/>
                  <a:pt x="2" y="9"/>
                  <a:pt x="2" y="9"/>
                </a:cubicBezTo>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6" name="Freeform 83">
            <a:extLst>
              <a:ext uri="{FF2B5EF4-FFF2-40B4-BE49-F238E27FC236}">
                <a16:creationId xmlns:a16="http://schemas.microsoft.com/office/drawing/2014/main" id="{23320A6D-3FC4-0F4F-45B1-97EAD6D8FE96}"/>
              </a:ext>
            </a:extLst>
          </xdr:cNvPr>
          <xdr:cNvSpPr>
            <a:spLocks/>
          </xdr:cNvSpPr>
        </xdr:nvSpPr>
        <xdr:spPr bwMode="auto">
          <a:xfrm>
            <a:off x="10545763" y="2900902"/>
            <a:ext cx="136525" cy="182563"/>
          </a:xfrm>
          <a:custGeom>
            <a:avLst/>
            <a:gdLst>
              <a:gd name="T0" fmla="*/ 25 w 36"/>
              <a:gd name="T1" fmla="*/ 12 h 47"/>
              <a:gd name="T2" fmla="*/ 25 w 36"/>
              <a:gd name="T3" fmla="*/ 0 h 47"/>
              <a:gd name="T4" fmla="*/ 11 w 36"/>
              <a:gd name="T5" fmla="*/ 5 h 47"/>
              <a:gd name="T6" fmla="*/ 0 w 36"/>
              <a:gd name="T7" fmla="*/ 23 h 47"/>
              <a:gd name="T8" fmla="*/ 1 w 36"/>
              <a:gd name="T9" fmla="*/ 47 h 47"/>
              <a:gd name="T10" fmla="*/ 36 w 36"/>
              <a:gd name="T11" fmla="*/ 47 h 47"/>
              <a:gd name="T12" fmla="*/ 36 w 36"/>
              <a:gd name="T13" fmla="*/ 7 h 47"/>
              <a:gd name="T14" fmla="*/ 33 w 36"/>
              <a:gd name="T15" fmla="*/ 3 h 47"/>
              <a:gd name="T16" fmla="*/ 25 w 36"/>
              <a:gd name="T17" fmla="*/ 12 h 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36" h="47">
                <a:moveTo>
                  <a:pt x="25" y="12"/>
                </a:moveTo>
                <a:cubicBezTo>
                  <a:pt x="25" y="0"/>
                  <a:pt x="25" y="0"/>
                  <a:pt x="25" y="0"/>
                </a:cubicBezTo>
                <a:cubicBezTo>
                  <a:pt x="11" y="5"/>
                  <a:pt x="11" y="5"/>
                  <a:pt x="11" y="5"/>
                </a:cubicBezTo>
                <a:cubicBezTo>
                  <a:pt x="4" y="8"/>
                  <a:pt x="0" y="15"/>
                  <a:pt x="0" y="23"/>
                </a:cubicBezTo>
                <a:cubicBezTo>
                  <a:pt x="1" y="47"/>
                  <a:pt x="1" y="47"/>
                  <a:pt x="1" y="47"/>
                </a:cubicBezTo>
                <a:cubicBezTo>
                  <a:pt x="36" y="47"/>
                  <a:pt x="36" y="47"/>
                  <a:pt x="36" y="47"/>
                </a:cubicBezTo>
                <a:cubicBezTo>
                  <a:pt x="36" y="7"/>
                  <a:pt x="36" y="7"/>
                  <a:pt x="36" y="7"/>
                </a:cubicBezTo>
                <a:cubicBezTo>
                  <a:pt x="33" y="3"/>
                  <a:pt x="33" y="3"/>
                  <a:pt x="33" y="3"/>
                </a:cubicBezTo>
                <a:lnTo>
                  <a:pt x="25" y="12"/>
                </a:ln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7" name="Freeform 84">
            <a:extLst>
              <a:ext uri="{FF2B5EF4-FFF2-40B4-BE49-F238E27FC236}">
                <a16:creationId xmlns:a16="http://schemas.microsoft.com/office/drawing/2014/main" id="{59A52C08-5D96-D930-2A15-40D09E9EAFCE}"/>
              </a:ext>
            </a:extLst>
          </xdr:cNvPr>
          <xdr:cNvSpPr>
            <a:spLocks/>
          </xdr:cNvSpPr>
        </xdr:nvSpPr>
        <xdr:spPr bwMode="auto">
          <a:xfrm>
            <a:off x="10693400" y="2900902"/>
            <a:ext cx="114300" cy="182563"/>
          </a:xfrm>
          <a:custGeom>
            <a:avLst/>
            <a:gdLst>
              <a:gd name="T0" fmla="*/ 30 w 30"/>
              <a:gd name="T1" fmla="*/ 8 h 47"/>
              <a:gd name="T2" fmla="*/ 25 w 30"/>
              <a:gd name="T3" fmla="*/ 5 h 47"/>
              <a:gd name="T4" fmla="*/ 12 w 30"/>
              <a:gd name="T5" fmla="*/ 0 h 47"/>
              <a:gd name="T6" fmla="*/ 12 w 30"/>
              <a:gd name="T7" fmla="*/ 12 h 47"/>
              <a:gd name="T8" fmla="*/ 4 w 30"/>
              <a:gd name="T9" fmla="*/ 3 h 47"/>
              <a:gd name="T10" fmla="*/ 0 w 30"/>
              <a:gd name="T11" fmla="*/ 7 h 47"/>
              <a:gd name="T12" fmla="*/ 0 w 30"/>
              <a:gd name="T13" fmla="*/ 47 h 47"/>
              <a:gd name="T14" fmla="*/ 27 w 30"/>
              <a:gd name="T15" fmla="*/ 47 h 47"/>
              <a:gd name="T16" fmla="*/ 26 w 30"/>
              <a:gd name="T17" fmla="*/ 20 h 47"/>
              <a:gd name="T18" fmla="*/ 30 w 30"/>
              <a:gd name="T19" fmla="*/ 8 h 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30" h="47">
                <a:moveTo>
                  <a:pt x="30" y="8"/>
                </a:moveTo>
                <a:cubicBezTo>
                  <a:pt x="29" y="6"/>
                  <a:pt x="27" y="5"/>
                  <a:pt x="25" y="5"/>
                </a:cubicBezTo>
                <a:cubicBezTo>
                  <a:pt x="12" y="0"/>
                  <a:pt x="12" y="0"/>
                  <a:pt x="12" y="0"/>
                </a:cubicBezTo>
                <a:cubicBezTo>
                  <a:pt x="12" y="12"/>
                  <a:pt x="12" y="12"/>
                  <a:pt x="12" y="12"/>
                </a:cubicBezTo>
                <a:cubicBezTo>
                  <a:pt x="4" y="3"/>
                  <a:pt x="4" y="3"/>
                  <a:pt x="4" y="3"/>
                </a:cubicBezTo>
                <a:cubicBezTo>
                  <a:pt x="0" y="7"/>
                  <a:pt x="0" y="7"/>
                  <a:pt x="0" y="7"/>
                </a:cubicBezTo>
                <a:cubicBezTo>
                  <a:pt x="0" y="47"/>
                  <a:pt x="0" y="47"/>
                  <a:pt x="0" y="47"/>
                </a:cubicBezTo>
                <a:cubicBezTo>
                  <a:pt x="27" y="47"/>
                  <a:pt x="27" y="47"/>
                  <a:pt x="27" y="47"/>
                </a:cubicBezTo>
                <a:cubicBezTo>
                  <a:pt x="26" y="20"/>
                  <a:pt x="26" y="20"/>
                  <a:pt x="26" y="20"/>
                </a:cubicBezTo>
                <a:cubicBezTo>
                  <a:pt x="26" y="15"/>
                  <a:pt x="28" y="11"/>
                  <a:pt x="30" y="8"/>
                </a:cubicBezTo>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8" name="Freeform 85">
            <a:extLst>
              <a:ext uri="{FF2B5EF4-FFF2-40B4-BE49-F238E27FC236}">
                <a16:creationId xmlns:a16="http://schemas.microsoft.com/office/drawing/2014/main" id="{9F56C22B-EB01-F055-A1C3-C82992BEFF81}"/>
              </a:ext>
            </a:extLst>
          </xdr:cNvPr>
          <xdr:cNvSpPr>
            <a:spLocks/>
          </xdr:cNvSpPr>
        </xdr:nvSpPr>
        <xdr:spPr bwMode="auto">
          <a:xfrm>
            <a:off x="10647363" y="2892964"/>
            <a:ext cx="15875" cy="26988"/>
          </a:xfrm>
          <a:custGeom>
            <a:avLst/>
            <a:gdLst>
              <a:gd name="T0" fmla="*/ 0 w 10"/>
              <a:gd name="T1" fmla="*/ 2 h 17"/>
              <a:gd name="T2" fmla="*/ 0 w 10"/>
              <a:gd name="T3" fmla="*/ 2 h 17"/>
              <a:gd name="T4" fmla="*/ 0 w 10"/>
              <a:gd name="T5" fmla="*/ 17 h 17"/>
              <a:gd name="T6" fmla="*/ 10 w 10"/>
              <a:gd name="T7" fmla="*/ 10 h 17"/>
              <a:gd name="T8" fmla="*/ 10 w 10"/>
              <a:gd name="T9" fmla="*/ 7 h 17"/>
              <a:gd name="T10" fmla="*/ 3 w 10"/>
              <a:gd name="T11" fmla="*/ 2 h 17"/>
              <a:gd name="T12" fmla="*/ 3 w 10"/>
              <a:gd name="T13" fmla="*/ 0 h 17"/>
              <a:gd name="T14" fmla="*/ 0 w 10"/>
              <a:gd name="T15" fmla="*/ 2 h 1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0" h="17">
                <a:moveTo>
                  <a:pt x="0" y="2"/>
                </a:moveTo>
                <a:lnTo>
                  <a:pt x="0" y="2"/>
                </a:lnTo>
                <a:lnTo>
                  <a:pt x="0" y="17"/>
                </a:lnTo>
                <a:lnTo>
                  <a:pt x="10" y="10"/>
                </a:lnTo>
                <a:lnTo>
                  <a:pt x="10" y="7"/>
                </a:lnTo>
                <a:lnTo>
                  <a:pt x="3" y="2"/>
                </a:lnTo>
                <a:lnTo>
                  <a:pt x="3" y="0"/>
                </a:lnTo>
                <a:lnTo>
                  <a:pt x="0" y="2"/>
                </a:ln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9" name="Freeform 86">
            <a:extLst>
              <a:ext uri="{FF2B5EF4-FFF2-40B4-BE49-F238E27FC236}">
                <a16:creationId xmlns:a16="http://schemas.microsoft.com/office/drawing/2014/main" id="{DC0DC880-1509-0BB4-C4F6-A0A278E72778}"/>
              </a:ext>
            </a:extLst>
          </xdr:cNvPr>
          <xdr:cNvSpPr>
            <a:spLocks/>
          </xdr:cNvSpPr>
        </xdr:nvSpPr>
        <xdr:spPr bwMode="auto">
          <a:xfrm>
            <a:off x="10655300" y="2877089"/>
            <a:ext cx="65087" cy="42863"/>
          </a:xfrm>
          <a:custGeom>
            <a:avLst/>
            <a:gdLst>
              <a:gd name="T0" fmla="*/ 17 w 17"/>
              <a:gd name="T1" fmla="*/ 2 h 11"/>
              <a:gd name="T2" fmla="*/ 17 w 17"/>
              <a:gd name="T3" fmla="*/ 2 h 11"/>
              <a:gd name="T4" fmla="*/ 17 w 17"/>
              <a:gd name="T5" fmla="*/ 1 h 11"/>
              <a:gd name="T6" fmla="*/ 17 w 17"/>
              <a:gd name="T7" fmla="*/ 0 h 11"/>
              <a:gd name="T8" fmla="*/ 17 w 17"/>
              <a:gd name="T9" fmla="*/ 0 h 11"/>
              <a:gd name="T10" fmla="*/ 17 w 17"/>
              <a:gd name="T11" fmla="*/ 1 h 11"/>
              <a:gd name="T12" fmla="*/ 15 w 17"/>
              <a:gd name="T13" fmla="*/ 1 h 11"/>
              <a:gd name="T14" fmla="*/ 13 w 17"/>
              <a:gd name="T15" fmla="*/ 2 h 11"/>
              <a:gd name="T16" fmla="*/ 9 w 17"/>
              <a:gd name="T17" fmla="*/ 3 h 11"/>
              <a:gd name="T18" fmla="*/ 5 w 17"/>
              <a:gd name="T19" fmla="*/ 2 h 11"/>
              <a:gd name="T20" fmla="*/ 3 w 17"/>
              <a:gd name="T21" fmla="*/ 1 h 11"/>
              <a:gd name="T22" fmla="*/ 1 w 17"/>
              <a:gd name="T23" fmla="*/ 1 h 11"/>
              <a:gd name="T24" fmla="*/ 1 w 17"/>
              <a:gd name="T25" fmla="*/ 0 h 11"/>
              <a:gd name="T26" fmla="*/ 0 w 17"/>
              <a:gd name="T27" fmla="*/ 0 h 11"/>
              <a:gd name="T28" fmla="*/ 0 w 17"/>
              <a:gd name="T29" fmla="*/ 1 h 11"/>
              <a:gd name="T30" fmla="*/ 0 w 17"/>
              <a:gd name="T31" fmla="*/ 2 h 11"/>
              <a:gd name="T32" fmla="*/ 0 w 17"/>
              <a:gd name="T33" fmla="*/ 2 h 11"/>
              <a:gd name="T34" fmla="*/ 1 w 17"/>
              <a:gd name="T35" fmla="*/ 3 h 11"/>
              <a:gd name="T36" fmla="*/ 9 w 17"/>
              <a:gd name="T37" fmla="*/ 11 h 11"/>
              <a:gd name="T38" fmla="*/ 16 w 17"/>
              <a:gd name="T39" fmla="*/ 3 h 11"/>
              <a:gd name="T40" fmla="*/ 17 w 17"/>
              <a:gd name="T41" fmla="*/ 2 h 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17" h="11">
                <a:moveTo>
                  <a:pt x="17" y="2"/>
                </a:moveTo>
                <a:cubicBezTo>
                  <a:pt x="17" y="2"/>
                  <a:pt x="17" y="2"/>
                  <a:pt x="17" y="2"/>
                </a:cubicBezTo>
                <a:cubicBezTo>
                  <a:pt x="17" y="1"/>
                  <a:pt x="17" y="1"/>
                  <a:pt x="17" y="1"/>
                </a:cubicBezTo>
                <a:cubicBezTo>
                  <a:pt x="17" y="0"/>
                  <a:pt x="17" y="0"/>
                  <a:pt x="17" y="0"/>
                </a:cubicBezTo>
                <a:cubicBezTo>
                  <a:pt x="17" y="0"/>
                  <a:pt x="17" y="0"/>
                  <a:pt x="17" y="0"/>
                </a:cubicBezTo>
                <a:cubicBezTo>
                  <a:pt x="17" y="0"/>
                  <a:pt x="17" y="1"/>
                  <a:pt x="17" y="1"/>
                </a:cubicBezTo>
                <a:cubicBezTo>
                  <a:pt x="16" y="1"/>
                  <a:pt x="15" y="1"/>
                  <a:pt x="15" y="1"/>
                </a:cubicBezTo>
                <a:cubicBezTo>
                  <a:pt x="14" y="2"/>
                  <a:pt x="14" y="2"/>
                  <a:pt x="13" y="2"/>
                </a:cubicBezTo>
                <a:cubicBezTo>
                  <a:pt x="12" y="2"/>
                  <a:pt x="10" y="3"/>
                  <a:pt x="9" y="3"/>
                </a:cubicBezTo>
                <a:cubicBezTo>
                  <a:pt x="7" y="3"/>
                  <a:pt x="6" y="2"/>
                  <a:pt x="5" y="2"/>
                </a:cubicBezTo>
                <a:cubicBezTo>
                  <a:pt x="4" y="2"/>
                  <a:pt x="3" y="2"/>
                  <a:pt x="3" y="1"/>
                </a:cubicBezTo>
                <a:cubicBezTo>
                  <a:pt x="2" y="1"/>
                  <a:pt x="2" y="1"/>
                  <a:pt x="1" y="1"/>
                </a:cubicBezTo>
                <a:cubicBezTo>
                  <a:pt x="1" y="1"/>
                  <a:pt x="1" y="0"/>
                  <a:pt x="1" y="0"/>
                </a:cubicBezTo>
                <a:cubicBezTo>
                  <a:pt x="0" y="0"/>
                  <a:pt x="0" y="0"/>
                  <a:pt x="0" y="0"/>
                </a:cubicBezTo>
                <a:cubicBezTo>
                  <a:pt x="0" y="1"/>
                  <a:pt x="0" y="1"/>
                  <a:pt x="0" y="1"/>
                </a:cubicBezTo>
                <a:cubicBezTo>
                  <a:pt x="0" y="2"/>
                  <a:pt x="0" y="2"/>
                  <a:pt x="0" y="2"/>
                </a:cubicBezTo>
                <a:cubicBezTo>
                  <a:pt x="0" y="2"/>
                  <a:pt x="0" y="2"/>
                  <a:pt x="0" y="2"/>
                </a:cubicBezTo>
                <a:cubicBezTo>
                  <a:pt x="1" y="3"/>
                  <a:pt x="1" y="3"/>
                  <a:pt x="1" y="3"/>
                </a:cubicBezTo>
                <a:cubicBezTo>
                  <a:pt x="9" y="11"/>
                  <a:pt x="9" y="11"/>
                  <a:pt x="9" y="11"/>
                </a:cubicBezTo>
                <a:cubicBezTo>
                  <a:pt x="16" y="3"/>
                  <a:pt x="16" y="3"/>
                  <a:pt x="16" y="3"/>
                </a:cubicBezTo>
                <a:lnTo>
                  <a:pt x="17" y="2"/>
                </a:ln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10" name="Freeform 87">
            <a:extLst>
              <a:ext uri="{FF2B5EF4-FFF2-40B4-BE49-F238E27FC236}">
                <a16:creationId xmlns:a16="http://schemas.microsoft.com/office/drawing/2014/main" id="{27C07BD3-40BF-EDAD-DAFB-11995E059784}"/>
              </a:ext>
            </a:extLst>
          </xdr:cNvPr>
          <xdr:cNvSpPr>
            <a:spLocks/>
          </xdr:cNvSpPr>
        </xdr:nvSpPr>
        <xdr:spPr bwMode="auto">
          <a:xfrm>
            <a:off x="10641013" y="2729452"/>
            <a:ext cx="95250" cy="147638"/>
          </a:xfrm>
          <a:custGeom>
            <a:avLst/>
            <a:gdLst>
              <a:gd name="T0" fmla="*/ 1 w 25"/>
              <a:gd name="T1" fmla="*/ 16 h 38"/>
              <a:gd name="T2" fmla="*/ 1 w 25"/>
              <a:gd name="T3" fmla="*/ 16 h 38"/>
              <a:gd name="T4" fmla="*/ 1 w 25"/>
              <a:gd name="T5" fmla="*/ 21 h 38"/>
              <a:gd name="T6" fmla="*/ 2 w 25"/>
              <a:gd name="T7" fmla="*/ 26 h 38"/>
              <a:gd name="T8" fmla="*/ 2 w 25"/>
              <a:gd name="T9" fmla="*/ 27 h 38"/>
              <a:gd name="T10" fmla="*/ 2 w 25"/>
              <a:gd name="T11" fmla="*/ 27 h 38"/>
              <a:gd name="T12" fmla="*/ 3 w 25"/>
              <a:gd name="T13" fmla="*/ 31 h 38"/>
              <a:gd name="T14" fmla="*/ 4 w 25"/>
              <a:gd name="T15" fmla="*/ 34 h 38"/>
              <a:gd name="T16" fmla="*/ 6 w 25"/>
              <a:gd name="T17" fmla="*/ 36 h 38"/>
              <a:gd name="T18" fmla="*/ 8 w 25"/>
              <a:gd name="T19" fmla="*/ 37 h 38"/>
              <a:gd name="T20" fmla="*/ 11 w 25"/>
              <a:gd name="T21" fmla="*/ 38 h 38"/>
              <a:gd name="T22" fmla="*/ 13 w 25"/>
              <a:gd name="T23" fmla="*/ 38 h 38"/>
              <a:gd name="T24" fmla="*/ 15 w 25"/>
              <a:gd name="T25" fmla="*/ 38 h 38"/>
              <a:gd name="T26" fmla="*/ 17 w 25"/>
              <a:gd name="T27" fmla="*/ 37 h 38"/>
              <a:gd name="T28" fmla="*/ 19 w 25"/>
              <a:gd name="T29" fmla="*/ 36 h 38"/>
              <a:gd name="T30" fmla="*/ 21 w 25"/>
              <a:gd name="T31" fmla="*/ 34 h 38"/>
              <a:gd name="T32" fmla="*/ 23 w 25"/>
              <a:gd name="T33" fmla="*/ 31 h 38"/>
              <a:gd name="T34" fmla="*/ 23 w 25"/>
              <a:gd name="T35" fmla="*/ 27 h 38"/>
              <a:gd name="T36" fmla="*/ 23 w 25"/>
              <a:gd name="T37" fmla="*/ 27 h 38"/>
              <a:gd name="T38" fmla="*/ 24 w 25"/>
              <a:gd name="T39" fmla="*/ 26 h 38"/>
              <a:gd name="T40" fmla="*/ 24 w 25"/>
              <a:gd name="T41" fmla="*/ 21 h 38"/>
              <a:gd name="T42" fmla="*/ 25 w 25"/>
              <a:gd name="T43" fmla="*/ 16 h 38"/>
              <a:gd name="T44" fmla="*/ 25 w 25"/>
              <a:gd name="T45" fmla="*/ 16 h 38"/>
              <a:gd name="T46" fmla="*/ 25 w 25"/>
              <a:gd name="T47" fmla="*/ 15 h 38"/>
              <a:gd name="T48" fmla="*/ 25 w 25"/>
              <a:gd name="T49" fmla="*/ 13 h 38"/>
              <a:gd name="T50" fmla="*/ 13 w 25"/>
              <a:gd name="T51" fmla="*/ 0 h 38"/>
              <a:gd name="T52" fmla="*/ 0 w 25"/>
              <a:gd name="T53" fmla="*/ 13 h 38"/>
              <a:gd name="T54" fmla="*/ 1 w 25"/>
              <a:gd name="T55" fmla="*/ 15 h 38"/>
              <a:gd name="T56" fmla="*/ 1 w 25"/>
              <a:gd name="T57" fmla="*/ 16 h 3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Lst>
            <a:rect l="0" t="0" r="r" b="b"/>
            <a:pathLst>
              <a:path w="25" h="38">
                <a:moveTo>
                  <a:pt x="1" y="16"/>
                </a:moveTo>
                <a:cubicBezTo>
                  <a:pt x="1" y="16"/>
                  <a:pt x="1" y="16"/>
                  <a:pt x="1" y="16"/>
                </a:cubicBezTo>
                <a:cubicBezTo>
                  <a:pt x="1" y="18"/>
                  <a:pt x="1" y="19"/>
                  <a:pt x="1" y="21"/>
                </a:cubicBezTo>
                <a:cubicBezTo>
                  <a:pt x="2" y="23"/>
                  <a:pt x="2" y="24"/>
                  <a:pt x="2" y="26"/>
                </a:cubicBezTo>
                <a:cubicBezTo>
                  <a:pt x="2" y="26"/>
                  <a:pt x="2" y="26"/>
                  <a:pt x="2" y="27"/>
                </a:cubicBezTo>
                <a:cubicBezTo>
                  <a:pt x="2" y="27"/>
                  <a:pt x="2" y="27"/>
                  <a:pt x="2" y="27"/>
                </a:cubicBezTo>
                <a:cubicBezTo>
                  <a:pt x="2" y="29"/>
                  <a:pt x="3" y="30"/>
                  <a:pt x="3" y="31"/>
                </a:cubicBezTo>
                <a:cubicBezTo>
                  <a:pt x="3" y="32"/>
                  <a:pt x="4" y="33"/>
                  <a:pt x="4" y="34"/>
                </a:cubicBezTo>
                <a:cubicBezTo>
                  <a:pt x="5" y="35"/>
                  <a:pt x="5" y="36"/>
                  <a:pt x="6" y="36"/>
                </a:cubicBezTo>
                <a:cubicBezTo>
                  <a:pt x="7" y="37"/>
                  <a:pt x="8" y="37"/>
                  <a:pt x="8" y="37"/>
                </a:cubicBezTo>
                <a:cubicBezTo>
                  <a:pt x="9" y="38"/>
                  <a:pt x="10" y="38"/>
                  <a:pt x="11" y="38"/>
                </a:cubicBezTo>
                <a:cubicBezTo>
                  <a:pt x="11" y="38"/>
                  <a:pt x="12" y="38"/>
                  <a:pt x="13" y="38"/>
                </a:cubicBezTo>
                <a:cubicBezTo>
                  <a:pt x="13" y="38"/>
                  <a:pt x="14" y="38"/>
                  <a:pt x="15" y="38"/>
                </a:cubicBezTo>
                <a:cubicBezTo>
                  <a:pt x="16" y="38"/>
                  <a:pt x="16" y="38"/>
                  <a:pt x="17" y="37"/>
                </a:cubicBezTo>
                <a:cubicBezTo>
                  <a:pt x="18" y="37"/>
                  <a:pt x="19" y="37"/>
                  <a:pt x="19" y="36"/>
                </a:cubicBezTo>
                <a:cubicBezTo>
                  <a:pt x="20" y="36"/>
                  <a:pt x="21" y="35"/>
                  <a:pt x="21" y="34"/>
                </a:cubicBezTo>
                <a:cubicBezTo>
                  <a:pt x="22" y="33"/>
                  <a:pt x="22" y="32"/>
                  <a:pt x="23" y="31"/>
                </a:cubicBezTo>
                <a:cubicBezTo>
                  <a:pt x="23" y="30"/>
                  <a:pt x="23" y="29"/>
                  <a:pt x="23" y="27"/>
                </a:cubicBezTo>
                <a:cubicBezTo>
                  <a:pt x="23" y="27"/>
                  <a:pt x="23" y="27"/>
                  <a:pt x="23" y="27"/>
                </a:cubicBezTo>
                <a:cubicBezTo>
                  <a:pt x="23" y="26"/>
                  <a:pt x="23" y="26"/>
                  <a:pt x="24" y="26"/>
                </a:cubicBezTo>
                <a:cubicBezTo>
                  <a:pt x="24" y="24"/>
                  <a:pt x="24" y="22"/>
                  <a:pt x="24" y="21"/>
                </a:cubicBezTo>
                <a:cubicBezTo>
                  <a:pt x="24" y="19"/>
                  <a:pt x="25" y="18"/>
                  <a:pt x="25" y="16"/>
                </a:cubicBezTo>
                <a:cubicBezTo>
                  <a:pt x="25" y="16"/>
                  <a:pt x="25" y="16"/>
                  <a:pt x="25" y="16"/>
                </a:cubicBezTo>
                <a:cubicBezTo>
                  <a:pt x="25" y="15"/>
                  <a:pt x="25" y="15"/>
                  <a:pt x="25" y="15"/>
                </a:cubicBezTo>
                <a:cubicBezTo>
                  <a:pt x="25" y="14"/>
                  <a:pt x="25" y="13"/>
                  <a:pt x="25" y="13"/>
                </a:cubicBezTo>
                <a:cubicBezTo>
                  <a:pt x="25" y="6"/>
                  <a:pt x="20" y="0"/>
                  <a:pt x="13" y="0"/>
                </a:cubicBezTo>
                <a:cubicBezTo>
                  <a:pt x="6" y="0"/>
                  <a:pt x="0" y="6"/>
                  <a:pt x="0" y="13"/>
                </a:cubicBezTo>
                <a:cubicBezTo>
                  <a:pt x="0" y="13"/>
                  <a:pt x="0" y="14"/>
                  <a:pt x="1" y="15"/>
                </a:cubicBezTo>
                <a:lnTo>
                  <a:pt x="1" y="16"/>
                </a:ln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11" name="Line 88">
            <a:extLst>
              <a:ext uri="{FF2B5EF4-FFF2-40B4-BE49-F238E27FC236}">
                <a16:creationId xmlns:a16="http://schemas.microsoft.com/office/drawing/2014/main" id="{AC99ED52-294B-064B-2612-95614A7F3AC1}"/>
              </a:ext>
            </a:extLst>
          </xdr:cNvPr>
          <xdr:cNvSpPr>
            <a:spLocks noChangeShapeType="1"/>
          </xdr:cNvSpPr>
        </xdr:nvSpPr>
        <xdr:spPr bwMode="auto">
          <a:xfrm>
            <a:off x="10644188" y="2892964"/>
            <a:ext cx="0" cy="0"/>
          </a:xfrm>
          <a:prstGeom prst="line">
            <a:avLst/>
          </a:prstGeom>
          <a:grpFill/>
          <a:ln w="9525">
            <a:solidFill>
              <a:srgbClr val="000000"/>
            </a:solidFill>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12" name="Line 89">
            <a:extLst>
              <a:ext uri="{FF2B5EF4-FFF2-40B4-BE49-F238E27FC236}">
                <a16:creationId xmlns:a16="http://schemas.microsoft.com/office/drawing/2014/main" id="{46E2BA34-CD6A-F0AF-3535-BC7ECDA30A76}"/>
              </a:ext>
            </a:extLst>
          </xdr:cNvPr>
          <xdr:cNvSpPr>
            <a:spLocks noChangeShapeType="1"/>
          </xdr:cNvSpPr>
        </xdr:nvSpPr>
        <xdr:spPr bwMode="auto">
          <a:xfrm>
            <a:off x="10644188" y="2892964"/>
            <a:ext cx="0" cy="0"/>
          </a:xfrm>
          <a:prstGeom prst="line">
            <a:avLst/>
          </a:prstGeom>
          <a:grpFill/>
          <a:ln w="9525">
            <a:solidFill>
              <a:srgbClr val="000000"/>
            </a:solidFill>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13" name="Freeform 90">
            <a:extLst>
              <a:ext uri="{FF2B5EF4-FFF2-40B4-BE49-F238E27FC236}">
                <a16:creationId xmlns:a16="http://schemas.microsoft.com/office/drawing/2014/main" id="{B790C66C-CDB5-B0C8-39AA-393A45E89ABF}"/>
              </a:ext>
            </a:extLst>
          </xdr:cNvPr>
          <xdr:cNvSpPr>
            <a:spLocks/>
          </xdr:cNvSpPr>
        </xdr:nvSpPr>
        <xdr:spPr bwMode="auto">
          <a:xfrm>
            <a:off x="10671175" y="2908839"/>
            <a:ext cx="0" cy="0"/>
          </a:xfrm>
          <a:custGeom>
            <a:avLst/>
            <a:gdLst/>
            <a:ahLst/>
            <a:cxnLst>
              <a:cxn ang="0">
                <a:pos x="0" y="0"/>
              </a:cxn>
              <a:cxn ang="0">
                <a:pos x="0" y="0"/>
              </a:cxn>
              <a:cxn ang="0">
                <a:pos x="0" y="0"/>
              </a:cxn>
            </a:cxnLst>
            <a:rect l="0" t="0" r="r" b="b"/>
            <a:pathLst>
              <a:path>
                <a:moveTo>
                  <a:pt x="0" y="0"/>
                </a:moveTo>
                <a:lnTo>
                  <a:pt x="0" y="0"/>
                </a:lnTo>
                <a:lnTo>
                  <a:pt x="0" y="0"/>
                </a:lnTo>
                <a:close/>
              </a:path>
            </a:pathLst>
          </a:custGeom>
          <a:grpFill/>
          <a:ln w="9525">
            <a:solidFill>
              <a:srgbClr val="000000"/>
            </a:solidFill>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14" name="Freeform 91">
            <a:extLst>
              <a:ext uri="{FF2B5EF4-FFF2-40B4-BE49-F238E27FC236}">
                <a16:creationId xmlns:a16="http://schemas.microsoft.com/office/drawing/2014/main" id="{04A7B5F5-FBDE-671C-7F52-5285418E944A}"/>
              </a:ext>
            </a:extLst>
          </xdr:cNvPr>
          <xdr:cNvSpPr>
            <a:spLocks/>
          </xdr:cNvSpPr>
        </xdr:nvSpPr>
        <xdr:spPr bwMode="auto">
          <a:xfrm>
            <a:off x="10736263" y="2892964"/>
            <a:ext cx="0" cy="0"/>
          </a:xfrm>
          <a:custGeom>
            <a:avLst/>
            <a:gdLst/>
            <a:ahLst/>
            <a:cxnLst>
              <a:cxn ang="0">
                <a:pos x="0" y="0"/>
              </a:cxn>
              <a:cxn ang="0">
                <a:pos x="0" y="0"/>
              </a:cxn>
              <a:cxn ang="0">
                <a:pos x="0" y="0"/>
              </a:cxn>
            </a:cxnLst>
            <a:rect l="0" t="0" r="r" b="b"/>
            <a:pathLst>
              <a:path>
                <a:moveTo>
                  <a:pt x="0" y="0"/>
                </a:moveTo>
                <a:lnTo>
                  <a:pt x="0" y="0"/>
                </a:lnTo>
                <a:lnTo>
                  <a:pt x="0" y="0"/>
                </a:lnTo>
                <a:close/>
              </a:path>
            </a:pathLst>
          </a:custGeom>
          <a:grpFill/>
          <a:ln w="9525">
            <a:solidFill>
              <a:srgbClr val="000000"/>
            </a:solidFill>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15" name="Freeform 92">
            <a:extLst>
              <a:ext uri="{FF2B5EF4-FFF2-40B4-BE49-F238E27FC236}">
                <a16:creationId xmlns:a16="http://schemas.microsoft.com/office/drawing/2014/main" id="{5344C7CD-64C6-9B04-4B2C-488ACC5A0FEE}"/>
              </a:ext>
            </a:extLst>
          </xdr:cNvPr>
          <xdr:cNvSpPr>
            <a:spLocks/>
          </xdr:cNvSpPr>
        </xdr:nvSpPr>
        <xdr:spPr bwMode="auto">
          <a:xfrm>
            <a:off x="10712450" y="2892964"/>
            <a:ext cx="15875" cy="26988"/>
          </a:xfrm>
          <a:custGeom>
            <a:avLst/>
            <a:gdLst>
              <a:gd name="T0" fmla="*/ 0 w 10"/>
              <a:gd name="T1" fmla="*/ 7 h 17"/>
              <a:gd name="T2" fmla="*/ 3 w 10"/>
              <a:gd name="T3" fmla="*/ 10 h 17"/>
              <a:gd name="T4" fmla="*/ 10 w 10"/>
              <a:gd name="T5" fmla="*/ 17 h 17"/>
              <a:gd name="T6" fmla="*/ 10 w 10"/>
              <a:gd name="T7" fmla="*/ 2 h 17"/>
              <a:gd name="T8" fmla="*/ 10 w 10"/>
              <a:gd name="T9" fmla="*/ 2 h 17"/>
              <a:gd name="T10" fmla="*/ 10 w 10"/>
              <a:gd name="T11" fmla="*/ 0 h 17"/>
              <a:gd name="T12" fmla="*/ 7 w 10"/>
              <a:gd name="T13" fmla="*/ 2 h 17"/>
              <a:gd name="T14" fmla="*/ 0 w 10"/>
              <a:gd name="T15" fmla="*/ 7 h 1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0" h="17">
                <a:moveTo>
                  <a:pt x="0" y="7"/>
                </a:moveTo>
                <a:lnTo>
                  <a:pt x="3" y="10"/>
                </a:lnTo>
                <a:lnTo>
                  <a:pt x="10" y="17"/>
                </a:lnTo>
                <a:lnTo>
                  <a:pt x="10" y="2"/>
                </a:lnTo>
                <a:lnTo>
                  <a:pt x="10" y="2"/>
                </a:lnTo>
                <a:lnTo>
                  <a:pt x="10" y="0"/>
                </a:lnTo>
                <a:lnTo>
                  <a:pt x="7" y="2"/>
                </a:lnTo>
                <a:lnTo>
                  <a:pt x="0" y="7"/>
                </a:ln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16" name="Freeform 93">
            <a:extLst>
              <a:ext uri="{FF2B5EF4-FFF2-40B4-BE49-F238E27FC236}">
                <a16:creationId xmlns:a16="http://schemas.microsoft.com/office/drawing/2014/main" id="{0CA33244-B613-2933-8B89-ABF104EC2EF6}"/>
              </a:ext>
            </a:extLst>
          </xdr:cNvPr>
          <xdr:cNvSpPr>
            <a:spLocks/>
          </xdr:cNvSpPr>
        </xdr:nvSpPr>
        <xdr:spPr bwMode="auto">
          <a:xfrm>
            <a:off x="10709275" y="2908839"/>
            <a:ext cx="0" cy="0"/>
          </a:xfrm>
          <a:custGeom>
            <a:avLst/>
            <a:gdLst/>
            <a:ahLst/>
            <a:cxnLst>
              <a:cxn ang="0">
                <a:pos x="0" y="0"/>
              </a:cxn>
              <a:cxn ang="0">
                <a:pos x="0" y="0"/>
              </a:cxn>
              <a:cxn ang="0">
                <a:pos x="0" y="0"/>
              </a:cxn>
            </a:cxnLst>
            <a:rect l="0" t="0" r="r" b="b"/>
            <a:pathLst>
              <a:path>
                <a:moveTo>
                  <a:pt x="0" y="0"/>
                </a:moveTo>
                <a:lnTo>
                  <a:pt x="0" y="0"/>
                </a:lnTo>
                <a:lnTo>
                  <a:pt x="0" y="0"/>
                </a:lnTo>
                <a:close/>
              </a:path>
            </a:pathLst>
          </a:custGeom>
          <a:grpFill/>
          <a:ln w="9525">
            <a:solidFill>
              <a:srgbClr val="000000"/>
            </a:solidFill>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17" name="Freeform 94">
            <a:extLst>
              <a:ext uri="{FF2B5EF4-FFF2-40B4-BE49-F238E27FC236}">
                <a16:creationId xmlns:a16="http://schemas.microsoft.com/office/drawing/2014/main" id="{57513ABB-8E49-26C5-206B-F1C7CCE9CA67}"/>
              </a:ext>
            </a:extLst>
          </xdr:cNvPr>
          <xdr:cNvSpPr>
            <a:spLocks/>
          </xdr:cNvSpPr>
        </xdr:nvSpPr>
        <xdr:spPr bwMode="auto">
          <a:xfrm>
            <a:off x="11044238" y="2904077"/>
            <a:ext cx="84137" cy="179388"/>
          </a:xfrm>
          <a:custGeom>
            <a:avLst/>
            <a:gdLst>
              <a:gd name="T0" fmla="*/ 12 w 22"/>
              <a:gd name="T1" fmla="*/ 12 h 46"/>
              <a:gd name="T2" fmla="*/ 12 w 22"/>
              <a:gd name="T3" fmla="*/ 0 h 46"/>
              <a:gd name="T4" fmla="*/ 6 w 22"/>
              <a:gd name="T5" fmla="*/ 1 h 46"/>
              <a:gd name="T6" fmla="*/ 0 w 22"/>
              <a:gd name="T7" fmla="*/ 5 h 46"/>
              <a:gd name="T8" fmla="*/ 5 w 22"/>
              <a:gd name="T9" fmla="*/ 19 h 46"/>
              <a:gd name="T10" fmla="*/ 4 w 22"/>
              <a:gd name="T11" fmla="*/ 46 h 46"/>
              <a:gd name="T12" fmla="*/ 22 w 22"/>
              <a:gd name="T13" fmla="*/ 46 h 46"/>
              <a:gd name="T14" fmla="*/ 22 w 22"/>
              <a:gd name="T15" fmla="*/ 6 h 46"/>
              <a:gd name="T16" fmla="*/ 20 w 22"/>
              <a:gd name="T17" fmla="*/ 4 h 46"/>
              <a:gd name="T18" fmla="*/ 12 w 22"/>
              <a:gd name="T19" fmla="*/ 12 h 4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22" h="46">
                <a:moveTo>
                  <a:pt x="12" y="12"/>
                </a:moveTo>
                <a:cubicBezTo>
                  <a:pt x="12" y="0"/>
                  <a:pt x="12" y="0"/>
                  <a:pt x="12" y="0"/>
                </a:cubicBezTo>
                <a:cubicBezTo>
                  <a:pt x="6" y="1"/>
                  <a:pt x="6" y="1"/>
                  <a:pt x="6" y="1"/>
                </a:cubicBezTo>
                <a:cubicBezTo>
                  <a:pt x="4" y="2"/>
                  <a:pt x="2" y="3"/>
                  <a:pt x="0" y="5"/>
                </a:cubicBezTo>
                <a:cubicBezTo>
                  <a:pt x="3" y="9"/>
                  <a:pt x="5" y="14"/>
                  <a:pt x="5" y="19"/>
                </a:cubicBezTo>
                <a:cubicBezTo>
                  <a:pt x="4" y="46"/>
                  <a:pt x="4" y="46"/>
                  <a:pt x="4" y="46"/>
                </a:cubicBezTo>
                <a:cubicBezTo>
                  <a:pt x="22" y="46"/>
                  <a:pt x="22" y="46"/>
                  <a:pt x="22" y="46"/>
                </a:cubicBezTo>
                <a:cubicBezTo>
                  <a:pt x="22" y="6"/>
                  <a:pt x="22" y="6"/>
                  <a:pt x="22" y="6"/>
                </a:cubicBezTo>
                <a:cubicBezTo>
                  <a:pt x="20" y="4"/>
                  <a:pt x="20" y="4"/>
                  <a:pt x="20" y="4"/>
                </a:cubicBezTo>
                <a:lnTo>
                  <a:pt x="12" y="12"/>
                </a:ln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18" name="Freeform 95">
            <a:extLst>
              <a:ext uri="{FF2B5EF4-FFF2-40B4-BE49-F238E27FC236}">
                <a16:creationId xmlns:a16="http://schemas.microsoft.com/office/drawing/2014/main" id="{490B2B31-1B79-16BA-FA04-1277EE12156F}"/>
              </a:ext>
            </a:extLst>
          </xdr:cNvPr>
          <xdr:cNvSpPr>
            <a:spLocks/>
          </xdr:cNvSpPr>
        </xdr:nvSpPr>
        <xdr:spPr bwMode="auto">
          <a:xfrm>
            <a:off x="11139488" y="2904077"/>
            <a:ext cx="106362" cy="179388"/>
          </a:xfrm>
          <a:custGeom>
            <a:avLst/>
            <a:gdLst>
              <a:gd name="T0" fmla="*/ 16 w 28"/>
              <a:gd name="T1" fmla="*/ 1 h 46"/>
              <a:gd name="T2" fmla="*/ 10 w 28"/>
              <a:gd name="T3" fmla="*/ 0 h 46"/>
              <a:gd name="T4" fmla="*/ 10 w 28"/>
              <a:gd name="T5" fmla="*/ 12 h 46"/>
              <a:gd name="T6" fmla="*/ 2 w 28"/>
              <a:gd name="T7" fmla="*/ 4 h 46"/>
              <a:gd name="T8" fmla="*/ 0 w 28"/>
              <a:gd name="T9" fmla="*/ 6 h 46"/>
              <a:gd name="T10" fmla="*/ 0 w 28"/>
              <a:gd name="T11" fmla="*/ 46 h 46"/>
              <a:gd name="T12" fmla="*/ 26 w 28"/>
              <a:gd name="T13" fmla="*/ 46 h 46"/>
              <a:gd name="T14" fmla="*/ 27 w 28"/>
              <a:gd name="T15" fmla="*/ 17 h 46"/>
              <a:gd name="T16" fmla="*/ 16 w 28"/>
              <a:gd name="T17" fmla="*/ 1 h 4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8" h="46">
                <a:moveTo>
                  <a:pt x="16" y="1"/>
                </a:moveTo>
                <a:cubicBezTo>
                  <a:pt x="10" y="0"/>
                  <a:pt x="10" y="0"/>
                  <a:pt x="10" y="0"/>
                </a:cubicBezTo>
                <a:cubicBezTo>
                  <a:pt x="10" y="12"/>
                  <a:pt x="10" y="12"/>
                  <a:pt x="10" y="12"/>
                </a:cubicBezTo>
                <a:cubicBezTo>
                  <a:pt x="2" y="4"/>
                  <a:pt x="2" y="4"/>
                  <a:pt x="2" y="4"/>
                </a:cubicBezTo>
                <a:cubicBezTo>
                  <a:pt x="0" y="6"/>
                  <a:pt x="0" y="6"/>
                  <a:pt x="0" y="6"/>
                </a:cubicBezTo>
                <a:cubicBezTo>
                  <a:pt x="0" y="46"/>
                  <a:pt x="0" y="46"/>
                  <a:pt x="0" y="46"/>
                </a:cubicBezTo>
                <a:cubicBezTo>
                  <a:pt x="26" y="46"/>
                  <a:pt x="26" y="46"/>
                  <a:pt x="26" y="46"/>
                </a:cubicBezTo>
                <a:cubicBezTo>
                  <a:pt x="27" y="17"/>
                  <a:pt x="27" y="17"/>
                  <a:pt x="27" y="17"/>
                </a:cubicBezTo>
                <a:cubicBezTo>
                  <a:pt x="28" y="10"/>
                  <a:pt x="23" y="3"/>
                  <a:pt x="16" y="1"/>
                </a:cubicBezTo>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19" name="Freeform 96">
            <a:extLst>
              <a:ext uri="{FF2B5EF4-FFF2-40B4-BE49-F238E27FC236}">
                <a16:creationId xmlns:a16="http://schemas.microsoft.com/office/drawing/2014/main" id="{7430AC2B-D2C5-DF23-1C96-777925D50184}"/>
              </a:ext>
            </a:extLst>
          </xdr:cNvPr>
          <xdr:cNvSpPr>
            <a:spLocks/>
          </xdr:cNvSpPr>
        </xdr:nvSpPr>
        <xdr:spPr bwMode="auto">
          <a:xfrm>
            <a:off x="11169650" y="2858039"/>
            <a:ext cx="15875" cy="19050"/>
          </a:xfrm>
          <a:custGeom>
            <a:avLst/>
            <a:gdLst>
              <a:gd name="T0" fmla="*/ 0 w 4"/>
              <a:gd name="T1" fmla="*/ 5 h 5"/>
              <a:gd name="T2" fmla="*/ 4 w 4"/>
              <a:gd name="T3" fmla="*/ 5 h 5"/>
              <a:gd name="T4" fmla="*/ 2 w 4"/>
              <a:gd name="T5" fmla="*/ 0 h 5"/>
              <a:gd name="T6" fmla="*/ 0 w 4"/>
              <a:gd name="T7" fmla="*/ 4 h 5"/>
              <a:gd name="T8" fmla="*/ 0 w 4"/>
              <a:gd name="T9" fmla="*/ 5 h 5"/>
            </a:gdLst>
            <a:ahLst/>
            <a:cxnLst>
              <a:cxn ang="0">
                <a:pos x="T0" y="T1"/>
              </a:cxn>
              <a:cxn ang="0">
                <a:pos x="T2" y="T3"/>
              </a:cxn>
              <a:cxn ang="0">
                <a:pos x="T4" y="T5"/>
              </a:cxn>
              <a:cxn ang="0">
                <a:pos x="T6" y="T7"/>
              </a:cxn>
              <a:cxn ang="0">
                <a:pos x="T8" y="T9"/>
              </a:cxn>
            </a:cxnLst>
            <a:rect l="0" t="0" r="r" b="b"/>
            <a:pathLst>
              <a:path w="4" h="5">
                <a:moveTo>
                  <a:pt x="0" y="5"/>
                </a:moveTo>
                <a:cubicBezTo>
                  <a:pt x="4" y="5"/>
                  <a:pt x="4" y="5"/>
                  <a:pt x="4" y="5"/>
                </a:cubicBezTo>
                <a:cubicBezTo>
                  <a:pt x="3" y="4"/>
                  <a:pt x="2" y="2"/>
                  <a:pt x="2" y="0"/>
                </a:cubicBezTo>
                <a:cubicBezTo>
                  <a:pt x="1" y="1"/>
                  <a:pt x="1" y="3"/>
                  <a:pt x="0" y="4"/>
                </a:cubicBezTo>
                <a:lnTo>
                  <a:pt x="0" y="5"/>
                </a:ln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20" name="Freeform 97">
            <a:extLst>
              <a:ext uri="{FF2B5EF4-FFF2-40B4-BE49-F238E27FC236}">
                <a16:creationId xmlns:a16="http://schemas.microsoft.com/office/drawing/2014/main" id="{E7756FCF-5F1A-6DF0-32FD-567E9D3860AB}"/>
              </a:ext>
            </a:extLst>
          </xdr:cNvPr>
          <xdr:cNvSpPr>
            <a:spLocks/>
          </xdr:cNvSpPr>
        </xdr:nvSpPr>
        <xdr:spPr bwMode="auto">
          <a:xfrm>
            <a:off x="11082338" y="2858039"/>
            <a:ext cx="19050" cy="19050"/>
          </a:xfrm>
          <a:custGeom>
            <a:avLst/>
            <a:gdLst>
              <a:gd name="T0" fmla="*/ 5 w 5"/>
              <a:gd name="T1" fmla="*/ 5 h 5"/>
              <a:gd name="T2" fmla="*/ 5 w 5"/>
              <a:gd name="T3" fmla="*/ 4 h 5"/>
              <a:gd name="T4" fmla="*/ 3 w 5"/>
              <a:gd name="T5" fmla="*/ 0 h 5"/>
              <a:gd name="T6" fmla="*/ 0 w 5"/>
              <a:gd name="T7" fmla="*/ 5 h 5"/>
              <a:gd name="T8" fmla="*/ 5 w 5"/>
              <a:gd name="T9" fmla="*/ 5 h 5"/>
            </a:gdLst>
            <a:ahLst/>
            <a:cxnLst>
              <a:cxn ang="0">
                <a:pos x="T0" y="T1"/>
              </a:cxn>
              <a:cxn ang="0">
                <a:pos x="T2" y="T3"/>
              </a:cxn>
              <a:cxn ang="0">
                <a:pos x="T4" y="T5"/>
              </a:cxn>
              <a:cxn ang="0">
                <a:pos x="T6" y="T7"/>
              </a:cxn>
              <a:cxn ang="0">
                <a:pos x="T8" y="T9"/>
              </a:cxn>
            </a:cxnLst>
            <a:rect l="0" t="0" r="r" b="b"/>
            <a:pathLst>
              <a:path w="5" h="5">
                <a:moveTo>
                  <a:pt x="5" y="5"/>
                </a:moveTo>
                <a:cubicBezTo>
                  <a:pt x="5" y="4"/>
                  <a:pt x="5" y="4"/>
                  <a:pt x="5" y="4"/>
                </a:cubicBezTo>
                <a:cubicBezTo>
                  <a:pt x="4" y="3"/>
                  <a:pt x="3" y="1"/>
                  <a:pt x="3" y="0"/>
                </a:cubicBezTo>
                <a:cubicBezTo>
                  <a:pt x="2" y="2"/>
                  <a:pt x="1" y="4"/>
                  <a:pt x="0" y="5"/>
                </a:cubicBezTo>
                <a:lnTo>
                  <a:pt x="5" y="5"/>
                </a:ln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21" name="Freeform 98">
            <a:extLst>
              <a:ext uri="{FF2B5EF4-FFF2-40B4-BE49-F238E27FC236}">
                <a16:creationId xmlns:a16="http://schemas.microsoft.com/office/drawing/2014/main" id="{26861B34-E504-8A37-0D07-D7AFA3F5B6EA}"/>
              </a:ext>
            </a:extLst>
          </xdr:cNvPr>
          <xdr:cNvSpPr>
            <a:spLocks/>
          </xdr:cNvSpPr>
        </xdr:nvSpPr>
        <xdr:spPr bwMode="auto">
          <a:xfrm>
            <a:off x="11109325" y="2881852"/>
            <a:ext cx="49212" cy="38100"/>
          </a:xfrm>
          <a:custGeom>
            <a:avLst/>
            <a:gdLst>
              <a:gd name="T0" fmla="*/ 13 w 13"/>
              <a:gd name="T1" fmla="*/ 4 h 10"/>
              <a:gd name="T2" fmla="*/ 13 w 13"/>
              <a:gd name="T3" fmla="*/ 3 h 10"/>
              <a:gd name="T4" fmla="*/ 13 w 13"/>
              <a:gd name="T5" fmla="*/ 2 h 10"/>
              <a:gd name="T6" fmla="*/ 13 w 13"/>
              <a:gd name="T7" fmla="*/ 2 h 10"/>
              <a:gd name="T8" fmla="*/ 13 w 13"/>
              <a:gd name="T9" fmla="*/ 0 h 10"/>
              <a:gd name="T10" fmla="*/ 9 w 13"/>
              <a:gd name="T11" fmla="*/ 1 h 10"/>
              <a:gd name="T12" fmla="*/ 7 w 13"/>
              <a:gd name="T13" fmla="*/ 1 h 10"/>
              <a:gd name="T14" fmla="*/ 4 w 13"/>
              <a:gd name="T15" fmla="*/ 1 h 10"/>
              <a:gd name="T16" fmla="*/ 0 w 13"/>
              <a:gd name="T17" fmla="*/ 0 h 10"/>
              <a:gd name="T18" fmla="*/ 0 w 13"/>
              <a:gd name="T19" fmla="*/ 2 h 10"/>
              <a:gd name="T20" fmla="*/ 0 w 13"/>
              <a:gd name="T21" fmla="*/ 2 h 10"/>
              <a:gd name="T22" fmla="*/ 0 w 13"/>
              <a:gd name="T23" fmla="*/ 3 h 10"/>
              <a:gd name="T24" fmla="*/ 0 w 13"/>
              <a:gd name="T25" fmla="*/ 4 h 10"/>
              <a:gd name="T26" fmla="*/ 1 w 13"/>
              <a:gd name="T27" fmla="*/ 4 h 10"/>
              <a:gd name="T28" fmla="*/ 6 w 13"/>
              <a:gd name="T29" fmla="*/ 9 h 10"/>
              <a:gd name="T30" fmla="*/ 7 w 13"/>
              <a:gd name="T31" fmla="*/ 10 h 10"/>
              <a:gd name="T32" fmla="*/ 7 w 13"/>
              <a:gd name="T33" fmla="*/ 9 h 10"/>
              <a:gd name="T34" fmla="*/ 12 w 13"/>
              <a:gd name="T35" fmla="*/ 4 h 10"/>
              <a:gd name="T36" fmla="*/ 13 w 13"/>
              <a:gd name="T37" fmla="*/ 4 h 1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13" h="10">
                <a:moveTo>
                  <a:pt x="13" y="4"/>
                </a:moveTo>
                <a:cubicBezTo>
                  <a:pt x="13" y="3"/>
                  <a:pt x="13" y="3"/>
                  <a:pt x="13" y="3"/>
                </a:cubicBezTo>
                <a:cubicBezTo>
                  <a:pt x="13" y="2"/>
                  <a:pt x="13" y="2"/>
                  <a:pt x="13" y="2"/>
                </a:cubicBezTo>
                <a:cubicBezTo>
                  <a:pt x="13" y="2"/>
                  <a:pt x="13" y="2"/>
                  <a:pt x="13" y="2"/>
                </a:cubicBezTo>
                <a:cubicBezTo>
                  <a:pt x="13" y="0"/>
                  <a:pt x="13" y="0"/>
                  <a:pt x="13" y="0"/>
                </a:cubicBezTo>
                <a:cubicBezTo>
                  <a:pt x="12" y="0"/>
                  <a:pt x="11" y="1"/>
                  <a:pt x="9" y="1"/>
                </a:cubicBezTo>
                <a:cubicBezTo>
                  <a:pt x="9" y="1"/>
                  <a:pt x="8" y="1"/>
                  <a:pt x="7" y="1"/>
                </a:cubicBezTo>
                <a:cubicBezTo>
                  <a:pt x="6" y="1"/>
                  <a:pt x="5" y="1"/>
                  <a:pt x="4" y="1"/>
                </a:cubicBezTo>
                <a:cubicBezTo>
                  <a:pt x="3" y="1"/>
                  <a:pt x="1" y="0"/>
                  <a:pt x="0" y="0"/>
                </a:cubicBezTo>
                <a:cubicBezTo>
                  <a:pt x="0" y="2"/>
                  <a:pt x="0" y="2"/>
                  <a:pt x="0" y="2"/>
                </a:cubicBezTo>
                <a:cubicBezTo>
                  <a:pt x="0" y="2"/>
                  <a:pt x="0" y="2"/>
                  <a:pt x="0" y="2"/>
                </a:cubicBezTo>
                <a:cubicBezTo>
                  <a:pt x="0" y="3"/>
                  <a:pt x="0" y="3"/>
                  <a:pt x="0" y="3"/>
                </a:cubicBezTo>
                <a:cubicBezTo>
                  <a:pt x="0" y="4"/>
                  <a:pt x="0" y="4"/>
                  <a:pt x="0" y="4"/>
                </a:cubicBezTo>
                <a:cubicBezTo>
                  <a:pt x="1" y="4"/>
                  <a:pt x="1" y="4"/>
                  <a:pt x="1" y="4"/>
                </a:cubicBezTo>
                <a:cubicBezTo>
                  <a:pt x="6" y="9"/>
                  <a:pt x="6" y="9"/>
                  <a:pt x="6" y="9"/>
                </a:cubicBezTo>
                <a:cubicBezTo>
                  <a:pt x="7" y="10"/>
                  <a:pt x="7" y="10"/>
                  <a:pt x="7" y="10"/>
                </a:cubicBezTo>
                <a:cubicBezTo>
                  <a:pt x="7" y="9"/>
                  <a:pt x="7" y="9"/>
                  <a:pt x="7" y="9"/>
                </a:cubicBezTo>
                <a:cubicBezTo>
                  <a:pt x="12" y="4"/>
                  <a:pt x="12" y="4"/>
                  <a:pt x="12" y="4"/>
                </a:cubicBezTo>
                <a:lnTo>
                  <a:pt x="13" y="4"/>
                </a:ln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22" name="Freeform 100">
            <a:extLst>
              <a:ext uri="{FF2B5EF4-FFF2-40B4-BE49-F238E27FC236}">
                <a16:creationId xmlns:a16="http://schemas.microsoft.com/office/drawing/2014/main" id="{18D12BFA-1ED7-A8C1-24BE-94061C568D45}"/>
              </a:ext>
            </a:extLst>
          </xdr:cNvPr>
          <xdr:cNvSpPr>
            <a:spLocks/>
          </xdr:cNvSpPr>
        </xdr:nvSpPr>
        <xdr:spPr bwMode="auto">
          <a:xfrm>
            <a:off x="11093450" y="2772314"/>
            <a:ext cx="84137" cy="101600"/>
          </a:xfrm>
          <a:custGeom>
            <a:avLst/>
            <a:gdLst>
              <a:gd name="T0" fmla="*/ 1 w 22"/>
              <a:gd name="T1" fmla="*/ 10 h 26"/>
              <a:gd name="T2" fmla="*/ 1 w 22"/>
              <a:gd name="T3" fmla="*/ 11 h 26"/>
              <a:gd name="T4" fmla="*/ 1 w 22"/>
              <a:gd name="T5" fmla="*/ 17 h 26"/>
              <a:gd name="T6" fmla="*/ 1 w 22"/>
              <a:gd name="T7" fmla="*/ 17 h 26"/>
              <a:gd name="T8" fmla="*/ 2 w 22"/>
              <a:gd name="T9" fmla="*/ 20 h 26"/>
              <a:gd name="T10" fmla="*/ 3 w 22"/>
              <a:gd name="T11" fmla="*/ 23 h 26"/>
              <a:gd name="T12" fmla="*/ 4 w 22"/>
              <a:gd name="T13" fmla="*/ 24 h 26"/>
              <a:gd name="T14" fmla="*/ 5 w 22"/>
              <a:gd name="T15" fmla="*/ 25 h 26"/>
              <a:gd name="T16" fmla="*/ 11 w 22"/>
              <a:gd name="T17" fmla="*/ 26 h 26"/>
              <a:gd name="T18" fmla="*/ 17 w 22"/>
              <a:gd name="T19" fmla="*/ 25 h 26"/>
              <a:gd name="T20" fmla="*/ 17 w 22"/>
              <a:gd name="T21" fmla="*/ 24 h 26"/>
              <a:gd name="T22" fmla="*/ 18 w 22"/>
              <a:gd name="T23" fmla="*/ 23 h 26"/>
              <a:gd name="T24" fmla="*/ 19 w 22"/>
              <a:gd name="T25" fmla="*/ 20 h 26"/>
              <a:gd name="T26" fmla="*/ 20 w 22"/>
              <a:gd name="T27" fmla="*/ 17 h 26"/>
              <a:gd name="T28" fmla="*/ 20 w 22"/>
              <a:gd name="T29" fmla="*/ 17 h 26"/>
              <a:gd name="T30" fmla="*/ 21 w 22"/>
              <a:gd name="T31" fmla="*/ 11 h 26"/>
              <a:gd name="T32" fmla="*/ 21 w 22"/>
              <a:gd name="T33" fmla="*/ 10 h 26"/>
              <a:gd name="T34" fmla="*/ 21 w 22"/>
              <a:gd name="T35" fmla="*/ 6 h 26"/>
              <a:gd name="T36" fmla="*/ 22 w 22"/>
              <a:gd name="T37" fmla="*/ 4 h 26"/>
              <a:gd name="T38" fmla="*/ 21 w 22"/>
              <a:gd name="T39" fmla="*/ 0 h 26"/>
              <a:gd name="T40" fmla="*/ 20 w 22"/>
              <a:gd name="T41" fmla="*/ 0 h 26"/>
              <a:gd name="T42" fmla="*/ 5 w 22"/>
              <a:gd name="T43" fmla="*/ 4 h 26"/>
              <a:gd name="T44" fmla="*/ 1 w 22"/>
              <a:gd name="T45" fmla="*/ 4 h 26"/>
              <a:gd name="T46" fmla="*/ 0 w 22"/>
              <a:gd name="T47" fmla="*/ 4 h 26"/>
              <a:gd name="T48" fmla="*/ 0 w 22"/>
              <a:gd name="T49" fmla="*/ 4 h 26"/>
              <a:gd name="T50" fmla="*/ 0 w 22"/>
              <a:gd name="T51" fmla="*/ 6 h 26"/>
              <a:gd name="T52" fmla="*/ 1 w 22"/>
              <a:gd name="T53" fmla="*/ 10 h 2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2" h="26">
                <a:moveTo>
                  <a:pt x="1" y="10"/>
                </a:moveTo>
                <a:cubicBezTo>
                  <a:pt x="1" y="11"/>
                  <a:pt x="1" y="11"/>
                  <a:pt x="1" y="11"/>
                </a:cubicBezTo>
                <a:cubicBezTo>
                  <a:pt x="1" y="13"/>
                  <a:pt x="1" y="15"/>
                  <a:pt x="1" y="17"/>
                </a:cubicBezTo>
                <a:cubicBezTo>
                  <a:pt x="1" y="17"/>
                  <a:pt x="1" y="17"/>
                  <a:pt x="1" y="17"/>
                </a:cubicBezTo>
                <a:cubicBezTo>
                  <a:pt x="2" y="18"/>
                  <a:pt x="2" y="19"/>
                  <a:pt x="2" y="20"/>
                </a:cubicBezTo>
                <a:cubicBezTo>
                  <a:pt x="2" y="21"/>
                  <a:pt x="2" y="22"/>
                  <a:pt x="3" y="23"/>
                </a:cubicBezTo>
                <a:cubicBezTo>
                  <a:pt x="3" y="23"/>
                  <a:pt x="4" y="24"/>
                  <a:pt x="4" y="24"/>
                </a:cubicBezTo>
                <a:cubicBezTo>
                  <a:pt x="4" y="25"/>
                  <a:pt x="5" y="25"/>
                  <a:pt x="5" y="25"/>
                </a:cubicBezTo>
                <a:cubicBezTo>
                  <a:pt x="6" y="26"/>
                  <a:pt x="8" y="26"/>
                  <a:pt x="11" y="26"/>
                </a:cubicBezTo>
                <a:cubicBezTo>
                  <a:pt x="13" y="26"/>
                  <a:pt x="15" y="26"/>
                  <a:pt x="17" y="25"/>
                </a:cubicBezTo>
                <a:cubicBezTo>
                  <a:pt x="17" y="25"/>
                  <a:pt x="17" y="25"/>
                  <a:pt x="17" y="24"/>
                </a:cubicBezTo>
                <a:cubicBezTo>
                  <a:pt x="18" y="24"/>
                  <a:pt x="18" y="23"/>
                  <a:pt x="18" y="23"/>
                </a:cubicBezTo>
                <a:cubicBezTo>
                  <a:pt x="19" y="22"/>
                  <a:pt x="19" y="21"/>
                  <a:pt x="19" y="20"/>
                </a:cubicBezTo>
                <a:cubicBezTo>
                  <a:pt x="20" y="19"/>
                  <a:pt x="20" y="18"/>
                  <a:pt x="20" y="17"/>
                </a:cubicBezTo>
                <a:cubicBezTo>
                  <a:pt x="20" y="17"/>
                  <a:pt x="20" y="17"/>
                  <a:pt x="20" y="17"/>
                </a:cubicBezTo>
                <a:cubicBezTo>
                  <a:pt x="20" y="15"/>
                  <a:pt x="20" y="13"/>
                  <a:pt x="21" y="11"/>
                </a:cubicBezTo>
                <a:cubicBezTo>
                  <a:pt x="21" y="11"/>
                  <a:pt x="21" y="11"/>
                  <a:pt x="21" y="10"/>
                </a:cubicBezTo>
                <a:cubicBezTo>
                  <a:pt x="21" y="9"/>
                  <a:pt x="21" y="7"/>
                  <a:pt x="21" y="6"/>
                </a:cubicBezTo>
                <a:cubicBezTo>
                  <a:pt x="22" y="5"/>
                  <a:pt x="22" y="5"/>
                  <a:pt x="22" y="4"/>
                </a:cubicBezTo>
                <a:cubicBezTo>
                  <a:pt x="22" y="3"/>
                  <a:pt x="21" y="1"/>
                  <a:pt x="21" y="0"/>
                </a:cubicBezTo>
                <a:cubicBezTo>
                  <a:pt x="21" y="0"/>
                  <a:pt x="20" y="0"/>
                  <a:pt x="20" y="0"/>
                </a:cubicBezTo>
                <a:cubicBezTo>
                  <a:pt x="15" y="3"/>
                  <a:pt x="10" y="4"/>
                  <a:pt x="5" y="4"/>
                </a:cubicBezTo>
                <a:cubicBezTo>
                  <a:pt x="3" y="4"/>
                  <a:pt x="2" y="4"/>
                  <a:pt x="1" y="4"/>
                </a:cubicBezTo>
                <a:cubicBezTo>
                  <a:pt x="0" y="4"/>
                  <a:pt x="0" y="4"/>
                  <a:pt x="0" y="4"/>
                </a:cubicBezTo>
                <a:cubicBezTo>
                  <a:pt x="0" y="4"/>
                  <a:pt x="0" y="4"/>
                  <a:pt x="0" y="4"/>
                </a:cubicBezTo>
                <a:cubicBezTo>
                  <a:pt x="0" y="5"/>
                  <a:pt x="0" y="5"/>
                  <a:pt x="0" y="6"/>
                </a:cubicBezTo>
                <a:cubicBezTo>
                  <a:pt x="0" y="7"/>
                  <a:pt x="0" y="9"/>
                  <a:pt x="1" y="10"/>
                </a:cubicBezTo>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23" name="Freeform 101">
            <a:extLst>
              <a:ext uri="{FF2B5EF4-FFF2-40B4-BE49-F238E27FC236}">
                <a16:creationId xmlns:a16="http://schemas.microsoft.com/office/drawing/2014/main" id="{CDB5FAD6-526A-614B-4D39-8E92113A4E3A}"/>
              </a:ext>
            </a:extLst>
          </xdr:cNvPr>
          <xdr:cNvSpPr>
            <a:spLocks/>
          </xdr:cNvSpPr>
        </xdr:nvSpPr>
        <xdr:spPr bwMode="auto">
          <a:xfrm>
            <a:off x="11150600" y="2900902"/>
            <a:ext cx="15875" cy="23813"/>
          </a:xfrm>
          <a:custGeom>
            <a:avLst/>
            <a:gdLst>
              <a:gd name="T0" fmla="*/ 0 w 10"/>
              <a:gd name="T1" fmla="*/ 5 h 15"/>
              <a:gd name="T2" fmla="*/ 0 w 10"/>
              <a:gd name="T3" fmla="*/ 5 h 15"/>
              <a:gd name="T4" fmla="*/ 2 w 10"/>
              <a:gd name="T5" fmla="*/ 7 h 15"/>
              <a:gd name="T6" fmla="*/ 10 w 10"/>
              <a:gd name="T7" fmla="*/ 15 h 15"/>
              <a:gd name="T8" fmla="*/ 10 w 10"/>
              <a:gd name="T9" fmla="*/ 0 h 15"/>
              <a:gd name="T10" fmla="*/ 10 w 10"/>
              <a:gd name="T11" fmla="*/ 0 h 15"/>
              <a:gd name="T12" fmla="*/ 10 w 10"/>
              <a:gd name="T13" fmla="*/ 0 h 15"/>
              <a:gd name="T14" fmla="*/ 10 w 10"/>
              <a:gd name="T15" fmla="*/ 0 h 15"/>
              <a:gd name="T16" fmla="*/ 0 w 10"/>
              <a:gd name="T17" fmla="*/ 5 h 15"/>
              <a:gd name="T18" fmla="*/ 0 w 10"/>
              <a:gd name="T19" fmla="*/ 5 h 1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10" h="15">
                <a:moveTo>
                  <a:pt x="0" y="5"/>
                </a:moveTo>
                <a:lnTo>
                  <a:pt x="0" y="5"/>
                </a:lnTo>
                <a:lnTo>
                  <a:pt x="2" y="7"/>
                </a:lnTo>
                <a:lnTo>
                  <a:pt x="10" y="15"/>
                </a:lnTo>
                <a:lnTo>
                  <a:pt x="10" y="0"/>
                </a:lnTo>
                <a:lnTo>
                  <a:pt x="10" y="0"/>
                </a:lnTo>
                <a:lnTo>
                  <a:pt x="10" y="0"/>
                </a:lnTo>
                <a:lnTo>
                  <a:pt x="10" y="0"/>
                </a:lnTo>
                <a:lnTo>
                  <a:pt x="0" y="5"/>
                </a:lnTo>
                <a:lnTo>
                  <a:pt x="0" y="5"/>
                </a:ln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24" name="Freeform 102">
            <a:extLst>
              <a:ext uri="{FF2B5EF4-FFF2-40B4-BE49-F238E27FC236}">
                <a16:creationId xmlns:a16="http://schemas.microsoft.com/office/drawing/2014/main" id="{1FBEA38D-2DCA-13F0-B9DB-AAED419E9D26}"/>
              </a:ext>
            </a:extLst>
          </xdr:cNvPr>
          <xdr:cNvSpPr>
            <a:spLocks/>
          </xdr:cNvSpPr>
        </xdr:nvSpPr>
        <xdr:spPr bwMode="auto">
          <a:xfrm>
            <a:off x="11101388" y="2900902"/>
            <a:ext cx="14287" cy="23813"/>
          </a:xfrm>
          <a:custGeom>
            <a:avLst/>
            <a:gdLst>
              <a:gd name="T0" fmla="*/ 0 w 9"/>
              <a:gd name="T1" fmla="*/ 0 h 15"/>
              <a:gd name="T2" fmla="*/ 0 w 9"/>
              <a:gd name="T3" fmla="*/ 0 h 15"/>
              <a:gd name="T4" fmla="*/ 0 w 9"/>
              <a:gd name="T5" fmla="*/ 0 h 15"/>
              <a:gd name="T6" fmla="*/ 0 w 9"/>
              <a:gd name="T7" fmla="*/ 15 h 15"/>
              <a:gd name="T8" fmla="*/ 7 w 9"/>
              <a:gd name="T9" fmla="*/ 7 h 15"/>
              <a:gd name="T10" fmla="*/ 9 w 9"/>
              <a:gd name="T11" fmla="*/ 5 h 15"/>
              <a:gd name="T12" fmla="*/ 9 w 9"/>
              <a:gd name="T13" fmla="*/ 5 h 15"/>
              <a:gd name="T14" fmla="*/ 9 w 9"/>
              <a:gd name="T15" fmla="*/ 5 h 15"/>
              <a:gd name="T16" fmla="*/ 0 w 9"/>
              <a:gd name="T17" fmla="*/ 0 h 15"/>
              <a:gd name="T18" fmla="*/ 0 w 9"/>
              <a:gd name="T19" fmla="*/ 0 h 1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9" h="15">
                <a:moveTo>
                  <a:pt x="0" y="0"/>
                </a:moveTo>
                <a:lnTo>
                  <a:pt x="0" y="0"/>
                </a:lnTo>
                <a:lnTo>
                  <a:pt x="0" y="0"/>
                </a:lnTo>
                <a:lnTo>
                  <a:pt x="0" y="15"/>
                </a:lnTo>
                <a:lnTo>
                  <a:pt x="7" y="7"/>
                </a:lnTo>
                <a:lnTo>
                  <a:pt x="9" y="5"/>
                </a:lnTo>
                <a:lnTo>
                  <a:pt x="9" y="5"/>
                </a:lnTo>
                <a:lnTo>
                  <a:pt x="9" y="5"/>
                </a:lnTo>
                <a:lnTo>
                  <a:pt x="0" y="0"/>
                </a:lnTo>
                <a:lnTo>
                  <a:pt x="0" y="0"/>
                </a:ln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25" name="Rectangle 24">
            <a:extLst>
              <a:ext uri="{FF2B5EF4-FFF2-40B4-BE49-F238E27FC236}">
                <a16:creationId xmlns:a16="http://schemas.microsoft.com/office/drawing/2014/main" id="{72640AAC-A1FC-D183-118B-7B8154444372}"/>
              </a:ext>
            </a:extLst>
          </xdr:cNvPr>
          <xdr:cNvSpPr>
            <a:spLocks noChangeArrowheads="1"/>
          </xdr:cNvSpPr>
        </xdr:nvSpPr>
        <xdr:spPr bwMode="auto">
          <a:xfrm>
            <a:off x="10842625" y="2997739"/>
            <a:ext cx="44450" cy="34925"/>
          </a:xfrm>
          <a:prstGeom prst="rect">
            <a:avLst/>
          </a:pr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26" name="Freeform 104">
            <a:extLst>
              <a:ext uri="{FF2B5EF4-FFF2-40B4-BE49-F238E27FC236}">
                <a16:creationId xmlns:a16="http://schemas.microsoft.com/office/drawing/2014/main" id="{5F009B77-2706-C12E-C5FC-DDC7DDBECC17}"/>
              </a:ext>
            </a:extLst>
          </xdr:cNvPr>
          <xdr:cNvSpPr>
            <a:spLocks/>
          </xdr:cNvSpPr>
        </xdr:nvSpPr>
        <xdr:spPr bwMode="auto">
          <a:xfrm>
            <a:off x="10842625" y="2896139"/>
            <a:ext cx="44450" cy="90488"/>
          </a:xfrm>
          <a:custGeom>
            <a:avLst/>
            <a:gdLst>
              <a:gd name="T0" fmla="*/ 12 w 12"/>
              <a:gd name="T1" fmla="*/ 0 h 23"/>
              <a:gd name="T2" fmla="*/ 0 w 12"/>
              <a:gd name="T3" fmla="*/ 3 h 23"/>
              <a:gd name="T4" fmla="*/ 0 w 12"/>
              <a:gd name="T5" fmla="*/ 4 h 23"/>
              <a:gd name="T6" fmla="*/ 0 w 12"/>
              <a:gd name="T7" fmla="*/ 5 h 23"/>
              <a:gd name="T8" fmla="*/ 0 w 12"/>
              <a:gd name="T9" fmla="*/ 23 h 23"/>
              <a:gd name="T10" fmla="*/ 12 w 12"/>
              <a:gd name="T11" fmla="*/ 23 h 23"/>
              <a:gd name="T12" fmla="*/ 12 w 12"/>
              <a:gd name="T13" fmla="*/ 1 h 23"/>
              <a:gd name="T14" fmla="*/ 12 w 12"/>
              <a:gd name="T15" fmla="*/ 1 h 23"/>
              <a:gd name="T16" fmla="*/ 12 w 12"/>
              <a:gd name="T17" fmla="*/ 0 h 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2" h="23">
                <a:moveTo>
                  <a:pt x="12" y="0"/>
                </a:moveTo>
                <a:cubicBezTo>
                  <a:pt x="0" y="3"/>
                  <a:pt x="0" y="3"/>
                  <a:pt x="0" y="3"/>
                </a:cubicBezTo>
                <a:cubicBezTo>
                  <a:pt x="0" y="4"/>
                  <a:pt x="0" y="4"/>
                  <a:pt x="0" y="4"/>
                </a:cubicBezTo>
                <a:cubicBezTo>
                  <a:pt x="0" y="5"/>
                  <a:pt x="0" y="5"/>
                  <a:pt x="0" y="5"/>
                </a:cubicBezTo>
                <a:cubicBezTo>
                  <a:pt x="0" y="23"/>
                  <a:pt x="0" y="23"/>
                  <a:pt x="0" y="23"/>
                </a:cubicBezTo>
                <a:cubicBezTo>
                  <a:pt x="12" y="23"/>
                  <a:pt x="12" y="23"/>
                  <a:pt x="12" y="23"/>
                </a:cubicBezTo>
                <a:cubicBezTo>
                  <a:pt x="12" y="1"/>
                  <a:pt x="12" y="1"/>
                  <a:pt x="12" y="1"/>
                </a:cubicBezTo>
                <a:cubicBezTo>
                  <a:pt x="12" y="1"/>
                  <a:pt x="12" y="1"/>
                  <a:pt x="12" y="1"/>
                </a:cubicBezTo>
                <a:lnTo>
                  <a:pt x="12" y="0"/>
                </a:ln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27" name="Freeform 105">
            <a:extLst>
              <a:ext uri="{FF2B5EF4-FFF2-40B4-BE49-F238E27FC236}">
                <a16:creationId xmlns:a16="http://schemas.microsoft.com/office/drawing/2014/main" id="{D9C28D91-1F34-C10A-C9C4-56E2D89BAF29}"/>
              </a:ext>
            </a:extLst>
          </xdr:cNvPr>
          <xdr:cNvSpPr>
            <a:spLocks/>
          </xdr:cNvSpPr>
        </xdr:nvSpPr>
        <xdr:spPr bwMode="auto">
          <a:xfrm>
            <a:off x="10971213" y="2896139"/>
            <a:ext cx="42862" cy="90488"/>
          </a:xfrm>
          <a:custGeom>
            <a:avLst/>
            <a:gdLst>
              <a:gd name="T0" fmla="*/ 27 w 27"/>
              <a:gd name="T1" fmla="*/ 8 h 57"/>
              <a:gd name="T2" fmla="*/ 0 w 27"/>
              <a:gd name="T3" fmla="*/ 0 h 57"/>
              <a:gd name="T4" fmla="*/ 0 w 27"/>
              <a:gd name="T5" fmla="*/ 3 h 57"/>
              <a:gd name="T6" fmla="*/ 0 w 27"/>
              <a:gd name="T7" fmla="*/ 57 h 57"/>
              <a:gd name="T8" fmla="*/ 27 w 27"/>
              <a:gd name="T9" fmla="*/ 57 h 57"/>
              <a:gd name="T10" fmla="*/ 27 w 27"/>
              <a:gd name="T11" fmla="*/ 13 h 57"/>
              <a:gd name="T12" fmla="*/ 27 w 27"/>
              <a:gd name="T13" fmla="*/ 13 h 57"/>
              <a:gd name="T14" fmla="*/ 27 w 27"/>
              <a:gd name="T15" fmla="*/ 8 h 5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7" h="57">
                <a:moveTo>
                  <a:pt x="27" y="8"/>
                </a:moveTo>
                <a:lnTo>
                  <a:pt x="0" y="0"/>
                </a:lnTo>
                <a:lnTo>
                  <a:pt x="0" y="3"/>
                </a:lnTo>
                <a:lnTo>
                  <a:pt x="0" y="57"/>
                </a:lnTo>
                <a:lnTo>
                  <a:pt x="27" y="57"/>
                </a:lnTo>
                <a:lnTo>
                  <a:pt x="27" y="13"/>
                </a:lnTo>
                <a:lnTo>
                  <a:pt x="27" y="13"/>
                </a:lnTo>
                <a:lnTo>
                  <a:pt x="27" y="8"/>
                </a:ln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28" name="Rectangle 27">
            <a:extLst>
              <a:ext uri="{FF2B5EF4-FFF2-40B4-BE49-F238E27FC236}">
                <a16:creationId xmlns:a16="http://schemas.microsoft.com/office/drawing/2014/main" id="{398609D6-BC68-B501-00ED-80E015F3C5C6}"/>
              </a:ext>
            </a:extLst>
          </xdr:cNvPr>
          <xdr:cNvSpPr>
            <a:spLocks noChangeArrowheads="1"/>
          </xdr:cNvSpPr>
        </xdr:nvSpPr>
        <xdr:spPr bwMode="auto">
          <a:xfrm>
            <a:off x="10971213" y="3040602"/>
            <a:ext cx="42862" cy="42863"/>
          </a:xfrm>
          <a:prstGeom prst="rect">
            <a:avLst/>
          </a:pr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29" name="Rectangle 28">
            <a:extLst>
              <a:ext uri="{FF2B5EF4-FFF2-40B4-BE49-F238E27FC236}">
                <a16:creationId xmlns:a16="http://schemas.microsoft.com/office/drawing/2014/main" id="{FB270A13-34F3-1187-1EDD-1D5A20C8E771}"/>
              </a:ext>
            </a:extLst>
          </xdr:cNvPr>
          <xdr:cNvSpPr>
            <a:spLocks noChangeArrowheads="1"/>
          </xdr:cNvSpPr>
        </xdr:nvSpPr>
        <xdr:spPr bwMode="auto">
          <a:xfrm>
            <a:off x="10842625" y="3040602"/>
            <a:ext cx="44450" cy="42863"/>
          </a:xfrm>
          <a:prstGeom prst="rect">
            <a:avLst/>
          </a:pr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30" name="Rectangle 29">
            <a:extLst>
              <a:ext uri="{FF2B5EF4-FFF2-40B4-BE49-F238E27FC236}">
                <a16:creationId xmlns:a16="http://schemas.microsoft.com/office/drawing/2014/main" id="{016E30A3-FCEE-81EF-558A-58078BC4CDE7}"/>
              </a:ext>
            </a:extLst>
          </xdr:cNvPr>
          <xdr:cNvSpPr>
            <a:spLocks noChangeArrowheads="1"/>
          </xdr:cNvSpPr>
        </xdr:nvSpPr>
        <xdr:spPr bwMode="auto">
          <a:xfrm>
            <a:off x="10971213" y="2997739"/>
            <a:ext cx="42862" cy="34925"/>
          </a:xfrm>
          <a:prstGeom prst="rect">
            <a:avLst/>
          </a:pr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31" name="Freeform 109">
            <a:extLst>
              <a:ext uri="{FF2B5EF4-FFF2-40B4-BE49-F238E27FC236}">
                <a16:creationId xmlns:a16="http://schemas.microsoft.com/office/drawing/2014/main" id="{965680D7-1621-4047-D51E-F9D9777004E1}"/>
              </a:ext>
            </a:extLst>
          </xdr:cNvPr>
          <xdr:cNvSpPr>
            <a:spLocks/>
          </xdr:cNvSpPr>
        </xdr:nvSpPr>
        <xdr:spPr bwMode="auto">
          <a:xfrm>
            <a:off x="10804525" y="2919952"/>
            <a:ext cx="30162" cy="163513"/>
          </a:xfrm>
          <a:custGeom>
            <a:avLst/>
            <a:gdLst>
              <a:gd name="T0" fmla="*/ 4 w 8"/>
              <a:gd name="T1" fmla="*/ 4 h 42"/>
              <a:gd name="T2" fmla="*/ 3 w 8"/>
              <a:gd name="T3" fmla="*/ 5 h 42"/>
              <a:gd name="T4" fmla="*/ 0 w 8"/>
              <a:gd name="T5" fmla="*/ 15 h 42"/>
              <a:gd name="T6" fmla="*/ 1 w 8"/>
              <a:gd name="T7" fmla="*/ 42 h 42"/>
              <a:gd name="T8" fmla="*/ 7 w 8"/>
              <a:gd name="T9" fmla="*/ 42 h 42"/>
              <a:gd name="T10" fmla="*/ 8 w 8"/>
              <a:gd name="T11" fmla="*/ 42 h 42"/>
              <a:gd name="T12" fmla="*/ 8 w 8"/>
              <a:gd name="T13" fmla="*/ 18 h 42"/>
              <a:gd name="T14" fmla="*/ 8 w 8"/>
              <a:gd name="T15" fmla="*/ 10 h 42"/>
              <a:gd name="T16" fmla="*/ 8 w 8"/>
              <a:gd name="T17" fmla="*/ 7 h 42"/>
              <a:gd name="T18" fmla="*/ 8 w 8"/>
              <a:gd name="T19" fmla="*/ 0 h 42"/>
              <a:gd name="T20" fmla="*/ 5 w 8"/>
              <a:gd name="T21" fmla="*/ 3 h 42"/>
              <a:gd name="T22" fmla="*/ 4 w 8"/>
              <a:gd name="T23" fmla="*/ 4 h 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8" h="42">
                <a:moveTo>
                  <a:pt x="4" y="4"/>
                </a:moveTo>
                <a:cubicBezTo>
                  <a:pt x="4" y="4"/>
                  <a:pt x="3" y="4"/>
                  <a:pt x="3" y="5"/>
                </a:cubicBezTo>
                <a:cubicBezTo>
                  <a:pt x="1" y="7"/>
                  <a:pt x="0" y="11"/>
                  <a:pt x="0" y="15"/>
                </a:cubicBezTo>
                <a:cubicBezTo>
                  <a:pt x="1" y="42"/>
                  <a:pt x="1" y="42"/>
                  <a:pt x="1" y="42"/>
                </a:cubicBezTo>
                <a:cubicBezTo>
                  <a:pt x="7" y="42"/>
                  <a:pt x="7" y="42"/>
                  <a:pt x="7" y="42"/>
                </a:cubicBezTo>
                <a:cubicBezTo>
                  <a:pt x="8" y="42"/>
                  <a:pt x="8" y="42"/>
                  <a:pt x="8" y="42"/>
                </a:cubicBezTo>
                <a:cubicBezTo>
                  <a:pt x="8" y="18"/>
                  <a:pt x="8" y="18"/>
                  <a:pt x="8" y="18"/>
                </a:cubicBezTo>
                <a:cubicBezTo>
                  <a:pt x="8" y="10"/>
                  <a:pt x="8" y="10"/>
                  <a:pt x="8" y="10"/>
                </a:cubicBezTo>
                <a:cubicBezTo>
                  <a:pt x="8" y="7"/>
                  <a:pt x="8" y="7"/>
                  <a:pt x="8" y="7"/>
                </a:cubicBezTo>
                <a:cubicBezTo>
                  <a:pt x="8" y="0"/>
                  <a:pt x="8" y="0"/>
                  <a:pt x="8" y="0"/>
                </a:cubicBezTo>
                <a:cubicBezTo>
                  <a:pt x="7" y="1"/>
                  <a:pt x="6" y="2"/>
                  <a:pt x="5" y="3"/>
                </a:cubicBezTo>
                <a:cubicBezTo>
                  <a:pt x="4" y="3"/>
                  <a:pt x="4" y="3"/>
                  <a:pt x="4" y="4"/>
                </a:cubicBezTo>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32" name="Freeform 110">
            <a:extLst>
              <a:ext uri="{FF2B5EF4-FFF2-40B4-BE49-F238E27FC236}">
                <a16:creationId xmlns:a16="http://schemas.microsoft.com/office/drawing/2014/main" id="{5C22EF1D-6D83-FBA6-EFE0-4761DE3CCA25}"/>
              </a:ext>
            </a:extLst>
          </xdr:cNvPr>
          <xdr:cNvSpPr>
            <a:spLocks/>
          </xdr:cNvSpPr>
        </xdr:nvSpPr>
        <xdr:spPr bwMode="auto">
          <a:xfrm>
            <a:off x="11020425" y="2919952"/>
            <a:ext cx="31750" cy="163513"/>
          </a:xfrm>
          <a:custGeom>
            <a:avLst/>
            <a:gdLst>
              <a:gd name="T0" fmla="*/ 3 w 8"/>
              <a:gd name="T1" fmla="*/ 2 h 42"/>
              <a:gd name="T2" fmla="*/ 2 w 8"/>
              <a:gd name="T3" fmla="*/ 1 h 42"/>
              <a:gd name="T4" fmla="*/ 0 w 8"/>
              <a:gd name="T5" fmla="*/ 0 h 42"/>
              <a:gd name="T6" fmla="*/ 0 w 8"/>
              <a:gd name="T7" fmla="*/ 4 h 42"/>
              <a:gd name="T8" fmla="*/ 0 w 8"/>
              <a:gd name="T9" fmla="*/ 8 h 42"/>
              <a:gd name="T10" fmla="*/ 0 w 8"/>
              <a:gd name="T11" fmla="*/ 34 h 42"/>
              <a:gd name="T12" fmla="*/ 0 w 8"/>
              <a:gd name="T13" fmla="*/ 42 h 42"/>
              <a:gd name="T14" fmla="*/ 1 w 8"/>
              <a:gd name="T15" fmla="*/ 42 h 42"/>
              <a:gd name="T16" fmla="*/ 2 w 8"/>
              <a:gd name="T17" fmla="*/ 42 h 42"/>
              <a:gd name="T18" fmla="*/ 8 w 8"/>
              <a:gd name="T19" fmla="*/ 42 h 42"/>
              <a:gd name="T20" fmla="*/ 8 w 8"/>
              <a:gd name="T21" fmla="*/ 15 h 42"/>
              <a:gd name="T22" fmla="*/ 4 w 8"/>
              <a:gd name="T23" fmla="*/ 3 h 42"/>
              <a:gd name="T24" fmla="*/ 3 w 8"/>
              <a:gd name="T25" fmla="*/ 2 h 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8" h="42">
                <a:moveTo>
                  <a:pt x="3" y="2"/>
                </a:moveTo>
                <a:cubicBezTo>
                  <a:pt x="3" y="2"/>
                  <a:pt x="2" y="2"/>
                  <a:pt x="2" y="1"/>
                </a:cubicBezTo>
                <a:cubicBezTo>
                  <a:pt x="2" y="1"/>
                  <a:pt x="1" y="1"/>
                  <a:pt x="0" y="0"/>
                </a:cubicBezTo>
                <a:cubicBezTo>
                  <a:pt x="0" y="4"/>
                  <a:pt x="0" y="4"/>
                  <a:pt x="0" y="4"/>
                </a:cubicBezTo>
                <a:cubicBezTo>
                  <a:pt x="0" y="8"/>
                  <a:pt x="0" y="8"/>
                  <a:pt x="0" y="8"/>
                </a:cubicBezTo>
                <a:cubicBezTo>
                  <a:pt x="0" y="34"/>
                  <a:pt x="0" y="34"/>
                  <a:pt x="0" y="34"/>
                </a:cubicBezTo>
                <a:cubicBezTo>
                  <a:pt x="0" y="42"/>
                  <a:pt x="0" y="42"/>
                  <a:pt x="0" y="42"/>
                </a:cubicBezTo>
                <a:cubicBezTo>
                  <a:pt x="1" y="42"/>
                  <a:pt x="1" y="42"/>
                  <a:pt x="1" y="42"/>
                </a:cubicBezTo>
                <a:cubicBezTo>
                  <a:pt x="2" y="42"/>
                  <a:pt x="2" y="42"/>
                  <a:pt x="2" y="42"/>
                </a:cubicBezTo>
                <a:cubicBezTo>
                  <a:pt x="8" y="42"/>
                  <a:pt x="8" y="42"/>
                  <a:pt x="8" y="42"/>
                </a:cubicBezTo>
                <a:cubicBezTo>
                  <a:pt x="8" y="15"/>
                  <a:pt x="8" y="15"/>
                  <a:pt x="8" y="15"/>
                </a:cubicBezTo>
                <a:cubicBezTo>
                  <a:pt x="8" y="10"/>
                  <a:pt x="7" y="6"/>
                  <a:pt x="4" y="3"/>
                </a:cubicBezTo>
                <a:cubicBezTo>
                  <a:pt x="4" y="3"/>
                  <a:pt x="3" y="3"/>
                  <a:pt x="3" y="2"/>
                </a:cubicBezTo>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33" name="Freeform 111">
            <a:extLst>
              <a:ext uri="{FF2B5EF4-FFF2-40B4-BE49-F238E27FC236}">
                <a16:creationId xmlns:a16="http://schemas.microsoft.com/office/drawing/2014/main" id="{2FFF88E4-076C-D80B-98C9-69626430D494}"/>
              </a:ext>
            </a:extLst>
          </xdr:cNvPr>
          <xdr:cNvSpPr>
            <a:spLocks/>
          </xdr:cNvSpPr>
        </xdr:nvSpPr>
        <xdr:spPr bwMode="auto">
          <a:xfrm>
            <a:off x="10895013" y="2927889"/>
            <a:ext cx="65087" cy="155575"/>
          </a:xfrm>
          <a:custGeom>
            <a:avLst/>
            <a:gdLst>
              <a:gd name="T0" fmla="*/ 0 w 17"/>
              <a:gd name="T1" fmla="*/ 0 h 40"/>
              <a:gd name="T2" fmla="*/ 0 w 17"/>
              <a:gd name="T3" fmla="*/ 15 h 40"/>
              <a:gd name="T4" fmla="*/ 0 w 17"/>
              <a:gd name="T5" fmla="*/ 16 h 40"/>
              <a:gd name="T6" fmla="*/ 0 w 17"/>
              <a:gd name="T7" fmla="*/ 18 h 40"/>
              <a:gd name="T8" fmla="*/ 0 w 17"/>
              <a:gd name="T9" fmla="*/ 27 h 40"/>
              <a:gd name="T10" fmla="*/ 0 w 17"/>
              <a:gd name="T11" fmla="*/ 28 h 40"/>
              <a:gd name="T12" fmla="*/ 0 w 17"/>
              <a:gd name="T13" fmla="*/ 29 h 40"/>
              <a:gd name="T14" fmla="*/ 0 w 17"/>
              <a:gd name="T15" fmla="*/ 40 h 40"/>
              <a:gd name="T16" fmla="*/ 17 w 17"/>
              <a:gd name="T17" fmla="*/ 40 h 40"/>
              <a:gd name="T18" fmla="*/ 17 w 17"/>
              <a:gd name="T19" fmla="*/ 29 h 40"/>
              <a:gd name="T20" fmla="*/ 17 w 17"/>
              <a:gd name="T21" fmla="*/ 28 h 40"/>
              <a:gd name="T22" fmla="*/ 17 w 17"/>
              <a:gd name="T23" fmla="*/ 27 h 40"/>
              <a:gd name="T24" fmla="*/ 17 w 17"/>
              <a:gd name="T25" fmla="*/ 18 h 40"/>
              <a:gd name="T26" fmla="*/ 17 w 17"/>
              <a:gd name="T27" fmla="*/ 16 h 40"/>
              <a:gd name="T28" fmla="*/ 17 w 17"/>
              <a:gd name="T29" fmla="*/ 15 h 40"/>
              <a:gd name="T30" fmla="*/ 17 w 17"/>
              <a:gd name="T31" fmla="*/ 0 h 40"/>
              <a:gd name="T32" fmla="*/ 9 w 17"/>
              <a:gd name="T33" fmla="*/ 4 h 40"/>
              <a:gd name="T34" fmla="*/ 0 w 17"/>
              <a:gd name="T35" fmla="*/ 0 h 4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17" h="40">
                <a:moveTo>
                  <a:pt x="0" y="0"/>
                </a:moveTo>
                <a:cubicBezTo>
                  <a:pt x="0" y="15"/>
                  <a:pt x="0" y="15"/>
                  <a:pt x="0" y="15"/>
                </a:cubicBezTo>
                <a:cubicBezTo>
                  <a:pt x="0" y="16"/>
                  <a:pt x="0" y="16"/>
                  <a:pt x="0" y="16"/>
                </a:cubicBezTo>
                <a:cubicBezTo>
                  <a:pt x="0" y="18"/>
                  <a:pt x="0" y="18"/>
                  <a:pt x="0" y="18"/>
                </a:cubicBezTo>
                <a:cubicBezTo>
                  <a:pt x="0" y="27"/>
                  <a:pt x="0" y="27"/>
                  <a:pt x="0" y="27"/>
                </a:cubicBezTo>
                <a:cubicBezTo>
                  <a:pt x="0" y="28"/>
                  <a:pt x="0" y="28"/>
                  <a:pt x="0" y="28"/>
                </a:cubicBezTo>
                <a:cubicBezTo>
                  <a:pt x="0" y="29"/>
                  <a:pt x="0" y="29"/>
                  <a:pt x="0" y="29"/>
                </a:cubicBezTo>
                <a:cubicBezTo>
                  <a:pt x="0" y="40"/>
                  <a:pt x="0" y="40"/>
                  <a:pt x="0" y="40"/>
                </a:cubicBezTo>
                <a:cubicBezTo>
                  <a:pt x="17" y="40"/>
                  <a:pt x="17" y="40"/>
                  <a:pt x="17" y="40"/>
                </a:cubicBezTo>
                <a:cubicBezTo>
                  <a:pt x="17" y="29"/>
                  <a:pt x="17" y="29"/>
                  <a:pt x="17" y="29"/>
                </a:cubicBezTo>
                <a:cubicBezTo>
                  <a:pt x="17" y="28"/>
                  <a:pt x="17" y="28"/>
                  <a:pt x="17" y="28"/>
                </a:cubicBezTo>
                <a:cubicBezTo>
                  <a:pt x="17" y="27"/>
                  <a:pt x="17" y="27"/>
                  <a:pt x="17" y="27"/>
                </a:cubicBezTo>
                <a:cubicBezTo>
                  <a:pt x="17" y="18"/>
                  <a:pt x="17" y="18"/>
                  <a:pt x="17" y="18"/>
                </a:cubicBezTo>
                <a:cubicBezTo>
                  <a:pt x="17" y="16"/>
                  <a:pt x="17" y="16"/>
                  <a:pt x="17" y="16"/>
                </a:cubicBezTo>
                <a:cubicBezTo>
                  <a:pt x="17" y="15"/>
                  <a:pt x="17" y="15"/>
                  <a:pt x="17" y="15"/>
                </a:cubicBezTo>
                <a:cubicBezTo>
                  <a:pt x="17" y="0"/>
                  <a:pt x="17" y="0"/>
                  <a:pt x="17" y="0"/>
                </a:cubicBezTo>
                <a:cubicBezTo>
                  <a:pt x="15" y="3"/>
                  <a:pt x="12" y="4"/>
                  <a:pt x="9" y="4"/>
                </a:cubicBezTo>
                <a:cubicBezTo>
                  <a:pt x="5" y="4"/>
                  <a:pt x="2" y="3"/>
                  <a:pt x="0" y="0"/>
                </a:cubicBezTo>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34" name="Freeform 112">
            <a:extLst>
              <a:ext uri="{FF2B5EF4-FFF2-40B4-BE49-F238E27FC236}">
                <a16:creationId xmlns:a16="http://schemas.microsoft.com/office/drawing/2014/main" id="{CAA0FA20-5430-9783-C3E0-AC3C2F022553}"/>
              </a:ext>
            </a:extLst>
          </xdr:cNvPr>
          <xdr:cNvSpPr>
            <a:spLocks/>
          </xdr:cNvSpPr>
        </xdr:nvSpPr>
        <xdr:spPr bwMode="auto">
          <a:xfrm>
            <a:off x="10895013" y="2877089"/>
            <a:ext cx="65087" cy="53975"/>
          </a:xfrm>
          <a:custGeom>
            <a:avLst/>
            <a:gdLst>
              <a:gd name="T0" fmla="*/ 16 w 17"/>
              <a:gd name="T1" fmla="*/ 1 h 14"/>
              <a:gd name="T2" fmla="*/ 16 w 17"/>
              <a:gd name="T3" fmla="*/ 2 h 14"/>
              <a:gd name="T4" fmla="*/ 15 w 17"/>
              <a:gd name="T5" fmla="*/ 2 h 14"/>
              <a:gd name="T6" fmla="*/ 14 w 17"/>
              <a:gd name="T7" fmla="*/ 2 h 14"/>
              <a:gd name="T8" fmla="*/ 13 w 17"/>
              <a:gd name="T9" fmla="*/ 3 h 14"/>
              <a:gd name="T10" fmla="*/ 9 w 17"/>
              <a:gd name="T11" fmla="*/ 4 h 14"/>
              <a:gd name="T12" fmla="*/ 4 w 17"/>
              <a:gd name="T13" fmla="*/ 3 h 14"/>
              <a:gd name="T14" fmla="*/ 3 w 17"/>
              <a:gd name="T15" fmla="*/ 2 h 14"/>
              <a:gd name="T16" fmla="*/ 2 w 17"/>
              <a:gd name="T17" fmla="*/ 2 h 14"/>
              <a:gd name="T18" fmla="*/ 2 w 17"/>
              <a:gd name="T19" fmla="*/ 2 h 14"/>
              <a:gd name="T20" fmla="*/ 1 w 17"/>
              <a:gd name="T21" fmla="*/ 1 h 14"/>
              <a:gd name="T22" fmla="*/ 1 w 17"/>
              <a:gd name="T23" fmla="*/ 1 h 14"/>
              <a:gd name="T24" fmla="*/ 0 w 17"/>
              <a:gd name="T25" fmla="*/ 1 h 14"/>
              <a:gd name="T26" fmla="*/ 0 w 17"/>
              <a:gd name="T27" fmla="*/ 1 h 14"/>
              <a:gd name="T28" fmla="*/ 0 w 17"/>
              <a:gd name="T29" fmla="*/ 1 h 14"/>
              <a:gd name="T30" fmla="*/ 0 w 17"/>
              <a:gd name="T31" fmla="*/ 2 h 14"/>
              <a:gd name="T32" fmla="*/ 0 w 17"/>
              <a:gd name="T33" fmla="*/ 2 h 14"/>
              <a:gd name="T34" fmla="*/ 0 w 17"/>
              <a:gd name="T35" fmla="*/ 4 h 14"/>
              <a:gd name="T36" fmla="*/ 0 w 17"/>
              <a:gd name="T37" fmla="*/ 6 h 14"/>
              <a:gd name="T38" fmla="*/ 0 w 17"/>
              <a:gd name="T39" fmla="*/ 6 h 14"/>
              <a:gd name="T40" fmla="*/ 9 w 17"/>
              <a:gd name="T41" fmla="*/ 14 h 14"/>
              <a:gd name="T42" fmla="*/ 17 w 17"/>
              <a:gd name="T43" fmla="*/ 6 h 14"/>
              <a:gd name="T44" fmla="*/ 17 w 17"/>
              <a:gd name="T45" fmla="*/ 4 h 14"/>
              <a:gd name="T46" fmla="*/ 17 w 17"/>
              <a:gd name="T47" fmla="*/ 4 h 14"/>
              <a:gd name="T48" fmla="*/ 17 w 17"/>
              <a:gd name="T49" fmla="*/ 2 h 14"/>
              <a:gd name="T50" fmla="*/ 17 w 17"/>
              <a:gd name="T51" fmla="*/ 2 h 14"/>
              <a:gd name="T52" fmla="*/ 17 w 17"/>
              <a:gd name="T53" fmla="*/ 1 h 14"/>
              <a:gd name="T54" fmla="*/ 17 w 17"/>
              <a:gd name="T55" fmla="*/ 1 h 14"/>
              <a:gd name="T56" fmla="*/ 17 w 17"/>
              <a:gd name="T57" fmla="*/ 0 h 14"/>
              <a:gd name="T58" fmla="*/ 16 w 17"/>
              <a:gd name="T59" fmla="*/ 1 h 14"/>
              <a:gd name="T60" fmla="*/ 16 w 17"/>
              <a:gd name="T61" fmla="*/ 1 h 1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17" h="14">
                <a:moveTo>
                  <a:pt x="16" y="1"/>
                </a:moveTo>
                <a:cubicBezTo>
                  <a:pt x="16" y="1"/>
                  <a:pt x="16" y="1"/>
                  <a:pt x="16" y="2"/>
                </a:cubicBezTo>
                <a:cubicBezTo>
                  <a:pt x="15" y="2"/>
                  <a:pt x="15" y="2"/>
                  <a:pt x="15" y="2"/>
                </a:cubicBezTo>
                <a:cubicBezTo>
                  <a:pt x="15" y="2"/>
                  <a:pt x="14" y="2"/>
                  <a:pt x="14" y="2"/>
                </a:cubicBezTo>
                <a:cubicBezTo>
                  <a:pt x="14" y="3"/>
                  <a:pt x="13" y="3"/>
                  <a:pt x="13" y="3"/>
                </a:cubicBezTo>
                <a:cubicBezTo>
                  <a:pt x="11" y="3"/>
                  <a:pt x="10" y="4"/>
                  <a:pt x="9" y="4"/>
                </a:cubicBezTo>
                <a:cubicBezTo>
                  <a:pt x="7" y="4"/>
                  <a:pt x="6" y="3"/>
                  <a:pt x="4" y="3"/>
                </a:cubicBezTo>
                <a:cubicBezTo>
                  <a:pt x="4" y="3"/>
                  <a:pt x="3" y="3"/>
                  <a:pt x="3" y="2"/>
                </a:cubicBezTo>
                <a:cubicBezTo>
                  <a:pt x="3" y="2"/>
                  <a:pt x="2" y="2"/>
                  <a:pt x="2" y="2"/>
                </a:cubicBezTo>
                <a:cubicBezTo>
                  <a:pt x="2" y="2"/>
                  <a:pt x="2" y="2"/>
                  <a:pt x="2" y="2"/>
                </a:cubicBezTo>
                <a:cubicBezTo>
                  <a:pt x="1" y="1"/>
                  <a:pt x="1" y="1"/>
                  <a:pt x="1" y="1"/>
                </a:cubicBezTo>
                <a:cubicBezTo>
                  <a:pt x="1" y="1"/>
                  <a:pt x="1" y="1"/>
                  <a:pt x="1" y="1"/>
                </a:cubicBezTo>
                <a:cubicBezTo>
                  <a:pt x="1" y="1"/>
                  <a:pt x="0" y="1"/>
                  <a:pt x="0" y="1"/>
                </a:cubicBezTo>
                <a:cubicBezTo>
                  <a:pt x="0" y="1"/>
                  <a:pt x="0" y="1"/>
                  <a:pt x="0" y="1"/>
                </a:cubicBezTo>
                <a:cubicBezTo>
                  <a:pt x="0" y="1"/>
                  <a:pt x="0" y="1"/>
                  <a:pt x="0" y="1"/>
                </a:cubicBezTo>
                <a:cubicBezTo>
                  <a:pt x="0" y="2"/>
                  <a:pt x="0" y="2"/>
                  <a:pt x="0" y="2"/>
                </a:cubicBezTo>
                <a:cubicBezTo>
                  <a:pt x="0" y="2"/>
                  <a:pt x="0" y="2"/>
                  <a:pt x="0" y="2"/>
                </a:cubicBezTo>
                <a:cubicBezTo>
                  <a:pt x="0" y="4"/>
                  <a:pt x="0" y="4"/>
                  <a:pt x="0" y="4"/>
                </a:cubicBezTo>
                <a:cubicBezTo>
                  <a:pt x="0" y="6"/>
                  <a:pt x="0" y="6"/>
                  <a:pt x="0" y="6"/>
                </a:cubicBezTo>
                <a:cubicBezTo>
                  <a:pt x="0" y="6"/>
                  <a:pt x="0" y="6"/>
                  <a:pt x="0" y="6"/>
                </a:cubicBezTo>
                <a:cubicBezTo>
                  <a:pt x="0" y="11"/>
                  <a:pt x="4" y="14"/>
                  <a:pt x="9" y="14"/>
                </a:cubicBezTo>
                <a:cubicBezTo>
                  <a:pt x="13" y="14"/>
                  <a:pt x="17" y="11"/>
                  <a:pt x="17" y="6"/>
                </a:cubicBezTo>
                <a:cubicBezTo>
                  <a:pt x="17" y="4"/>
                  <a:pt x="17" y="4"/>
                  <a:pt x="17" y="4"/>
                </a:cubicBezTo>
                <a:cubicBezTo>
                  <a:pt x="17" y="4"/>
                  <a:pt x="17" y="4"/>
                  <a:pt x="17" y="4"/>
                </a:cubicBezTo>
                <a:cubicBezTo>
                  <a:pt x="17" y="2"/>
                  <a:pt x="17" y="2"/>
                  <a:pt x="17" y="2"/>
                </a:cubicBezTo>
                <a:cubicBezTo>
                  <a:pt x="17" y="2"/>
                  <a:pt x="17" y="2"/>
                  <a:pt x="17" y="2"/>
                </a:cubicBezTo>
                <a:cubicBezTo>
                  <a:pt x="17" y="1"/>
                  <a:pt x="17" y="1"/>
                  <a:pt x="17" y="1"/>
                </a:cubicBezTo>
                <a:cubicBezTo>
                  <a:pt x="17" y="1"/>
                  <a:pt x="17" y="1"/>
                  <a:pt x="17" y="1"/>
                </a:cubicBezTo>
                <a:cubicBezTo>
                  <a:pt x="17" y="0"/>
                  <a:pt x="17" y="0"/>
                  <a:pt x="17" y="0"/>
                </a:cubicBezTo>
                <a:cubicBezTo>
                  <a:pt x="17" y="1"/>
                  <a:pt x="17" y="1"/>
                  <a:pt x="16" y="1"/>
                </a:cubicBezTo>
                <a:cubicBezTo>
                  <a:pt x="16" y="1"/>
                  <a:pt x="16" y="1"/>
                  <a:pt x="16" y="1"/>
                </a:cubicBezTo>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35" name="Freeform 113">
            <a:extLst>
              <a:ext uri="{FF2B5EF4-FFF2-40B4-BE49-F238E27FC236}">
                <a16:creationId xmlns:a16="http://schemas.microsoft.com/office/drawing/2014/main" id="{DB5A4F12-4E44-7B35-F847-BBCB4E3CEF25}"/>
              </a:ext>
            </a:extLst>
          </xdr:cNvPr>
          <xdr:cNvSpPr>
            <a:spLocks noEditPoints="1"/>
          </xdr:cNvSpPr>
        </xdr:nvSpPr>
        <xdr:spPr bwMode="auto">
          <a:xfrm>
            <a:off x="10864850" y="2718339"/>
            <a:ext cx="125412" cy="163513"/>
          </a:xfrm>
          <a:custGeom>
            <a:avLst/>
            <a:gdLst>
              <a:gd name="T0" fmla="*/ 19 w 33"/>
              <a:gd name="T1" fmla="*/ 21 h 42"/>
              <a:gd name="T2" fmla="*/ 17 w 33"/>
              <a:gd name="T3" fmla="*/ 21 h 42"/>
              <a:gd name="T4" fmla="*/ 15 w 33"/>
              <a:gd name="T5" fmla="*/ 21 h 42"/>
              <a:gd name="T6" fmla="*/ 13 w 33"/>
              <a:gd name="T7" fmla="*/ 20 h 42"/>
              <a:gd name="T8" fmla="*/ 12 w 33"/>
              <a:gd name="T9" fmla="*/ 16 h 42"/>
              <a:gd name="T10" fmla="*/ 13 w 33"/>
              <a:gd name="T11" fmla="*/ 12 h 42"/>
              <a:gd name="T12" fmla="*/ 15 w 33"/>
              <a:gd name="T13" fmla="*/ 11 h 42"/>
              <a:gd name="T14" fmla="*/ 17 w 33"/>
              <a:gd name="T15" fmla="*/ 11 h 42"/>
              <a:gd name="T16" fmla="*/ 19 w 33"/>
              <a:gd name="T17" fmla="*/ 11 h 42"/>
              <a:gd name="T18" fmla="*/ 20 w 33"/>
              <a:gd name="T19" fmla="*/ 12 h 42"/>
              <a:gd name="T20" fmla="*/ 21 w 33"/>
              <a:gd name="T21" fmla="*/ 13 h 42"/>
              <a:gd name="T22" fmla="*/ 21 w 33"/>
              <a:gd name="T23" fmla="*/ 14 h 42"/>
              <a:gd name="T24" fmla="*/ 22 w 33"/>
              <a:gd name="T25" fmla="*/ 16 h 42"/>
              <a:gd name="T26" fmla="*/ 19 w 33"/>
              <a:gd name="T27" fmla="*/ 21 h 42"/>
              <a:gd name="T28" fmla="*/ 33 w 33"/>
              <a:gd name="T29" fmla="*/ 21 h 42"/>
              <a:gd name="T30" fmla="*/ 33 w 33"/>
              <a:gd name="T31" fmla="*/ 20 h 42"/>
              <a:gd name="T32" fmla="*/ 33 w 33"/>
              <a:gd name="T33" fmla="*/ 17 h 42"/>
              <a:gd name="T34" fmla="*/ 28 w 33"/>
              <a:gd name="T35" fmla="*/ 17 h 42"/>
              <a:gd name="T36" fmla="*/ 27 w 33"/>
              <a:gd name="T37" fmla="*/ 17 h 42"/>
              <a:gd name="T38" fmla="*/ 27 w 33"/>
              <a:gd name="T39" fmla="*/ 15 h 42"/>
              <a:gd name="T40" fmla="*/ 28 w 33"/>
              <a:gd name="T41" fmla="*/ 15 h 42"/>
              <a:gd name="T42" fmla="*/ 33 w 33"/>
              <a:gd name="T43" fmla="*/ 15 h 42"/>
              <a:gd name="T44" fmla="*/ 18 w 33"/>
              <a:gd name="T45" fmla="*/ 0 h 42"/>
              <a:gd name="T46" fmla="*/ 18 w 33"/>
              <a:gd name="T47" fmla="*/ 6 h 42"/>
              <a:gd name="T48" fmla="*/ 17 w 33"/>
              <a:gd name="T49" fmla="*/ 6 h 42"/>
              <a:gd name="T50" fmla="*/ 15 w 33"/>
              <a:gd name="T51" fmla="*/ 6 h 42"/>
              <a:gd name="T52" fmla="*/ 15 w 33"/>
              <a:gd name="T53" fmla="*/ 0 h 42"/>
              <a:gd name="T54" fmla="*/ 0 w 33"/>
              <a:gd name="T55" fmla="*/ 14 h 42"/>
              <a:gd name="T56" fmla="*/ 6 w 33"/>
              <a:gd name="T57" fmla="*/ 14 h 42"/>
              <a:gd name="T58" fmla="*/ 7 w 33"/>
              <a:gd name="T59" fmla="*/ 14 h 42"/>
              <a:gd name="T60" fmla="*/ 7 w 33"/>
              <a:gd name="T61" fmla="*/ 16 h 42"/>
              <a:gd name="T62" fmla="*/ 7 w 33"/>
              <a:gd name="T63" fmla="*/ 17 h 42"/>
              <a:gd name="T64" fmla="*/ 6 w 33"/>
              <a:gd name="T65" fmla="*/ 17 h 42"/>
              <a:gd name="T66" fmla="*/ 0 w 33"/>
              <a:gd name="T67" fmla="*/ 17 h 42"/>
              <a:gd name="T68" fmla="*/ 0 w 33"/>
              <a:gd name="T69" fmla="*/ 20 h 42"/>
              <a:gd name="T70" fmla="*/ 0 w 33"/>
              <a:gd name="T71" fmla="*/ 21 h 42"/>
              <a:gd name="T72" fmla="*/ 6 w 33"/>
              <a:gd name="T73" fmla="*/ 21 h 42"/>
              <a:gd name="T74" fmla="*/ 6 w 33"/>
              <a:gd name="T75" fmla="*/ 21 h 42"/>
              <a:gd name="T76" fmla="*/ 6 w 33"/>
              <a:gd name="T77" fmla="*/ 22 h 42"/>
              <a:gd name="T78" fmla="*/ 7 w 33"/>
              <a:gd name="T79" fmla="*/ 27 h 42"/>
              <a:gd name="T80" fmla="*/ 7 w 33"/>
              <a:gd name="T81" fmla="*/ 28 h 42"/>
              <a:gd name="T82" fmla="*/ 8 w 33"/>
              <a:gd name="T83" fmla="*/ 33 h 42"/>
              <a:gd name="T84" fmla="*/ 8 w 33"/>
              <a:gd name="T85" fmla="*/ 33 h 42"/>
              <a:gd name="T86" fmla="*/ 8 w 33"/>
              <a:gd name="T87" fmla="*/ 36 h 42"/>
              <a:gd name="T88" fmla="*/ 11 w 33"/>
              <a:gd name="T89" fmla="*/ 40 h 42"/>
              <a:gd name="T90" fmla="*/ 13 w 33"/>
              <a:gd name="T91" fmla="*/ 41 h 42"/>
              <a:gd name="T92" fmla="*/ 17 w 33"/>
              <a:gd name="T93" fmla="*/ 42 h 42"/>
              <a:gd name="T94" fmla="*/ 20 w 33"/>
              <a:gd name="T95" fmla="*/ 41 h 42"/>
              <a:gd name="T96" fmla="*/ 22 w 33"/>
              <a:gd name="T97" fmla="*/ 40 h 42"/>
              <a:gd name="T98" fmla="*/ 25 w 33"/>
              <a:gd name="T99" fmla="*/ 36 h 42"/>
              <a:gd name="T100" fmla="*/ 25 w 33"/>
              <a:gd name="T101" fmla="*/ 33 h 42"/>
              <a:gd name="T102" fmla="*/ 25 w 33"/>
              <a:gd name="T103" fmla="*/ 33 h 42"/>
              <a:gd name="T104" fmla="*/ 26 w 33"/>
              <a:gd name="T105" fmla="*/ 27 h 42"/>
              <a:gd name="T106" fmla="*/ 26 w 33"/>
              <a:gd name="T107" fmla="*/ 26 h 42"/>
              <a:gd name="T108" fmla="*/ 27 w 33"/>
              <a:gd name="T109" fmla="*/ 22 h 42"/>
              <a:gd name="T110" fmla="*/ 27 w 33"/>
              <a:gd name="T111" fmla="*/ 21 h 42"/>
              <a:gd name="T112" fmla="*/ 28 w 33"/>
              <a:gd name="T113" fmla="*/ 21 h 42"/>
              <a:gd name="T114" fmla="*/ 33 w 33"/>
              <a:gd name="T115" fmla="*/ 21 h 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33" h="42">
                <a:moveTo>
                  <a:pt x="19" y="21"/>
                </a:moveTo>
                <a:cubicBezTo>
                  <a:pt x="18" y="21"/>
                  <a:pt x="17" y="21"/>
                  <a:pt x="17" y="21"/>
                </a:cubicBezTo>
                <a:cubicBezTo>
                  <a:pt x="16" y="21"/>
                  <a:pt x="15" y="21"/>
                  <a:pt x="15" y="21"/>
                </a:cubicBezTo>
                <a:cubicBezTo>
                  <a:pt x="14" y="20"/>
                  <a:pt x="14" y="20"/>
                  <a:pt x="13" y="20"/>
                </a:cubicBezTo>
                <a:cubicBezTo>
                  <a:pt x="12" y="19"/>
                  <a:pt x="12" y="17"/>
                  <a:pt x="12" y="16"/>
                </a:cubicBezTo>
                <a:cubicBezTo>
                  <a:pt x="12" y="15"/>
                  <a:pt x="12" y="13"/>
                  <a:pt x="13" y="12"/>
                </a:cubicBezTo>
                <a:cubicBezTo>
                  <a:pt x="14" y="12"/>
                  <a:pt x="14" y="12"/>
                  <a:pt x="15" y="11"/>
                </a:cubicBezTo>
                <a:cubicBezTo>
                  <a:pt x="15" y="11"/>
                  <a:pt x="16" y="11"/>
                  <a:pt x="17" y="11"/>
                </a:cubicBezTo>
                <a:cubicBezTo>
                  <a:pt x="17" y="11"/>
                  <a:pt x="18" y="11"/>
                  <a:pt x="19" y="11"/>
                </a:cubicBezTo>
                <a:cubicBezTo>
                  <a:pt x="19" y="12"/>
                  <a:pt x="19" y="12"/>
                  <a:pt x="20" y="12"/>
                </a:cubicBezTo>
                <a:cubicBezTo>
                  <a:pt x="20" y="12"/>
                  <a:pt x="20" y="13"/>
                  <a:pt x="21" y="13"/>
                </a:cubicBezTo>
                <a:cubicBezTo>
                  <a:pt x="21" y="13"/>
                  <a:pt x="21" y="13"/>
                  <a:pt x="21" y="14"/>
                </a:cubicBezTo>
                <a:cubicBezTo>
                  <a:pt x="21" y="14"/>
                  <a:pt x="22" y="15"/>
                  <a:pt x="22" y="16"/>
                </a:cubicBezTo>
                <a:cubicBezTo>
                  <a:pt x="22" y="18"/>
                  <a:pt x="20" y="20"/>
                  <a:pt x="19" y="21"/>
                </a:cubicBezTo>
                <a:moveTo>
                  <a:pt x="33" y="21"/>
                </a:moveTo>
                <a:cubicBezTo>
                  <a:pt x="33" y="20"/>
                  <a:pt x="33" y="20"/>
                  <a:pt x="33" y="20"/>
                </a:cubicBezTo>
                <a:cubicBezTo>
                  <a:pt x="33" y="17"/>
                  <a:pt x="33" y="17"/>
                  <a:pt x="33" y="17"/>
                </a:cubicBezTo>
                <a:cubicBezTo>
                  <a:pt x="28" y="17"/>
                  <a:pt x="28" y="17"/>
                  <a:pt x="28" y="17"/>
                </a:cubicBezTo>
                <a:cubicBezTo>
                  <a:pt x="27" y="17"/>
                  <a:pt x="27" y="17"/>
                  <a:pt x="27" y="17"/>
                </a:cubicBezTo>
                <a:cubicBezTo>
                  <a:pt x="27" y="15"/>
                  <a:pt x="27" y="15"/>
                  <a:pt x="27" y="15"/>
                </a:cubicBezTo>
                <a:cubicBezTo>
                  <a:pt x="28" y="15"/>
                  <a:pt x="28" y="15"/>
                  <a:pt x="28" y="15"/>
                </a:cubicBezTo>
                <a:cubicBezTo>
                  <a:pt x="33" y="15"/>
                  <a:pt x="33" y="15"/>
                  <a:pt x="33" y="15"/>
                </a:cubicBezTo>
                <a:cubicBezTo>
                  <a:pt x="32" y="7"/>
                  <a:pt x="26" y="0"/>
                  <a:pt x="18" y="0"/>
                </a:cubicBezTo>
                <a:cubicBezTo>
                  <a:pt x="18" y="6"/>
                  <a:pt x="18" y="6"/>
                  <a:pt x="18" y="6"/>
                </a:cubicBezTo>
                <a:cubicBezTo>
                  <a:pt x="17" y="6"/>
                  <a:pt x="17" y="6"/>
                  <a:pt x="17" y="6"/>
                </a:cubicBezTo>
                <a:cubicBezTo>
                  <a:pt x="15" y="6"/>
                  <a:pt x="15" y="6"/>
                  <a:pt x="15" y="6"/>
                </a:cubicBezTo>
                <a:cubicBezTo>
                  <a:pt x="15" y="0"/>
                  <a:pt x="15" y="0"/>
                  <a:pt x="15" y="0"/>
                </a:cubicBezTo>
                <a:cubicBezTo>
                  <a:pt x="7" y="0"/>
                  <a:pt x="1" y="7"/>
                  <a:pt x="0" y="14"/>
                </a:cubicBezTo>
                <a:cubicBezTo>
                  <a:pt x="6" y="14"/>
                  <a:pt x="6" y="14"/>
                  <a:pt x="6" y="14"/>
                </a:cubicBezTo>
                <a:cubicBezTo>
                  <a:pt x="7" y="14"/>
                  <a:pt x="7" y="14"/>
                  <a:pt x="7" y="14"/>
                </a:cubicBezTo>
                <a:cubicBezTo>
                  <a:pt x="7" y="16"/>
                  <a:pt x="7" y="16"/>
                  <a:pt x="7" y="16"/>
                </a:cubicBezTo>
                <a:cubicBezTo>
                  <a:pt x="7" y="17"/>
                  <a:pt x="7" y="17"/>
                  <a:pt x="7" y="17"/>
                </a:cubicBezTo>
                <a:cubicBezTo>
                  <a:pt x="6" y="17"/>
                  <a:pt x="6" y="17"/>
                  <a:pt x="6" y="17"/>
                </a:cubicBezTo>
                <a:cubicBezTo>
                  <a:pt x="0" y="17"/>
                  <a:pt x="0" y="17"/>
                  <a:pt x="0" y="17"/>
                </a:cubicBezTo>
                <a:cubicBezTo>
                  <a:pt x="0" y="20"/>
                  <a:pt x="0" y="20"/>
                  <a:pt x="0" y="20"/>
                </a:cubicBezTo>
                <a:cubicBezTo>
                  <a:pt x="0" y="21"/>
                  <a:pt x="0" y="21"/>
                  <a:pt x="0" y="21"/>
                </a:cubicBezTo>
                <a:cubicBezTo>
                  <a:pt x="6" y="21"/>
                  <a:pt x="6" y="21"/>
                  <a:pt x="6" y="21"/>
                </a:cubicBezTo>
                <a:cubicBezTo>
                  <a:pt x="6" y="21"/>
                  <a:pt x="6" y="21"/>
                  <a:pt x="6" y="21"/>
                </a:cubicBezTo>
                <a:cubicBezTo>
                  <a:pt x="6" y="22"/>
                  <a:pt x="6" y="22"/>
                  <a:pt x="6" y="22"/>
                </a:cubicBezTo>
                <a:cubicBezTo>
                  <a:pt x="7" y="24"/>
                  <a:pt x="7" y="25"/>
                  <a:pt x="7" y="27"/>
                </a:cubicBezTo>
                <a:cubicBezTo>
                  <a:pt x="7" y="27"/>
                  <a:pt x="7" y="27"/>
                  <a:pt x="7" y="28"/>
                </a:cubicBezTo>
                <a:cubicBezTo>
                  <a:pt x="7" y="29"/>
                  <a:pt x="8" y="31"/>
                  <a:pt x="8" y="33"/>
                </a:cubicBezTo>
                <a:cubicBezTo>
                  <a:pt x="8" y="33"/>
                  <a:pt x="8" y="33"/>
                  <a:pt x="8" y="33"/>
                </a:cubicBezTo>
                <a:cubicBezTo>
                  <a:pt x="8" y="34"/>
                  <a:pt x="8" y="35"/>
                  <a:pt x="8" y="36"/>
                </a:cubicBezTo>
                <a:cubicBezTo>
                  <a:pt x="9" y="38"/>
                  <a:pt x="9" y="39"/>
                  <a:pt x="11" y="40"/>
                </a:cubicBezTo>
                <a:cubicBezTo>
                  <a:pt x="12" y="41"/>
                  <a:pt x="12" y="41"/>
                  <a:pt x="13" y="41"/>
                </a:cubicBezTo>
                <a:cubicBezTo>
                  <a:pt x="14" y="42"/>
                  <a:pt x="15" y="42"/>
                  <a:pt x="17" y="42"/>
                </a:cubicBezTo>
                <a:cubicBezTo>
                  <a:pt x="18" y="42"/>
                  <a:pt x="19" y="42"/>
                  <a:pt x="20" y="41"/>
                </a:cubicBezTo>
                <a:cubicBezTo>
                  <a:pt x="21" y="41"/>
                  <a:pt x="22" y="41"/>
                  <a:pt x="22" y="40"/>
                </a:cubicBezTo>
                <a:cubicBezTo>
                  <a:pt x="24" y="39"/>
                  <a:pt x="25" y="38"/>
                  <a:pt x="25" y="36"/>
                </a:cubicBezTo>
                <a:cubicBezTo>
                  <a:pt x="25" y="35"/>
                  <a:pt x="25" y="34"/>
                  <a:pt x="25" y="33"/>
                </a:cubicBezTo>
                <a:cubicBezTo>
                  <a:pt x="25" y="33"/>
                  <a:pt x="25" y="33"/>
                  <a:pt x="25" y="33"/>
                </a:cubicBezTo>
                <a:cubicBezTo>
                  <a:pt x="26" y="31"/>
                  <a:pt x="26" y="29"/>
                  <a:pt x="26" y="27"/>
                </a:cubicBezTo>
                <a:cubicBezTo>
                  <a:pt x="26" y="27"/>
                  <a:pt x="26" y="27"/>
                  <a:pt x="26" y="26"/>
                </a:cubicBezTo>
                <a:cubicBezTo>
                  <a:pt x="26" y="25"/>
                  <a:pt x="27" y="24"/>
                  <a:pt x="27" y="22"/>
                </a:cubicBezTo>
                <a:cubicBezTo>
                  <a:pt x="27" y="21"/>
                  <a:pt x="27" y="21"/>
                  <a:pt x="27" y="21"/>
                </a:cubicBezTo>
                <a:cubicBezTo>
                  <a:pt x="28" y="21"/>
                  <a:pt x="28" y="21"/>
                  <a:pt x="28" y="21"/>
                </a:cubicBezTo>
                <a:lnTo>
                  <a:pt x="33" y="21"/>
                </a:ln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36" name="Oval 35">
            <a:extLst>
              <a:ext uri="{FF2B5EF4-FFF2-40B4-BE49-F238E27FC236}">
                <a16:creationId xmlns:a16="http://schemas.microsoft.com/office/drawing/2014/main" id="{0FC5188D-5D94-193D-B47F-0C81E9BCF895}"/>
              </a:ext>
            </a:extLst>
          </xdr:cNvPr>
          <xdr:cNvSpPr>
            <a:spLocks noChangeArrowheads="1"/>
          </xdr:cNvSpPr>
        </xdr:nvSpPr>
        <xdr:spPr bwMode="auto">
          <a:xfrm>
            <a:off x="10918825" y="2772314"/>
            <a:ext cx="19050" cy="15875"/>
          </a:xfrm>
          <a:prstGeom prst="ellipse">
            <a:avLst/>
          </a:pr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grpSp>
    <xdr:clientData/>
  </xdr:twoCellAnchor>
  <xdr:twoCellAnchor>
    <xdr:from>
      <xdr:col>5</xdr:col>
      <xdr:colOff>0</xdr:colOff>
      <xdr:row>0</xdr:row>
      <xdr:rowOff>85299</xdr:rowOff>
    </xdr:from>
    <xdr:to>
      <xdr:col>5</xdr:col>
      <xdr:colOff>0</xdr:colOff>
      <xdr:row>1</xdr:row>
      <xdr:rowOff>1587</xdr:rowOff>
    </xdr:to>
    <xdr:grpSp>
      <xdr:nvGrpSpPr>
        <xdr:cNvPr id="37" name="Group 36">
          <a:extLst>
            <a:ext uri="{FF2B5EF4-FFF2-40B4-BE49-F238E27FC236}">
              <a16:creationId xmlns:a16="http://schemas.microsoft.com/office/drawing/2014/main" id="{E3E049AE-FCB9-46D5-A608-48899B35D048}"/>
            </a:ext>
          </a:extLst>
        </xdr:cNvPr>
        <xdr:cNvGrpSpPr/>
      </xdr:nvGrpSpPr>
      <xdr:grpSpPr>
        <a:xfrm>
          <a:off x="24315964" y="85299"/>
          <a:ext cx="0" cy="501395"/>
          <a:chOff x="11339513" y="1617663"/>
          <a:chExt cx="590550" cy="593725"/>
        </a:xfrm>
        <a:solidFill>
          <a:schemeClr val="tx1">
            <a:lumMod val="50000"/>
          </a:schemeClr>
        </a:solidFill>
      </xdr:grpSpPr>
      <xdr:sp macro="" textlink="">
        <xdr:nvSpPr>
          <xdr:cNvPr id="38" name="Freeform 105">
            <a:extLst>
              <a:ext uri="{FF2B5EF4-FFF2-40B4-BE49-F238E27FC236}">
                <a16:creationId xmlns:a16="http://schemas.microsoft.com/office/drawing/2014/main" id="{EE4257D7-1C26-97B1-DF9A-1CF5308A5781}"/>
              </a:ext>
            </a:extLst>
          </xdr:cNvPr>
          <xdr:cNvSpPr>
            <a:spLocks/>
          </xdr:cNvSpPr>
        </xdr:nvSpPr>
        <xdr:spPr bwMode="auto">
          <a:xfrm>
            <a:off x="11723688" y="1617663"/>
            <a:ext cx="93663" cy="96838"/>
          </a:xfrm>
          <a:custGeom>
            <a:avLst/>
            <a:gdLst>
              <a:gd name="T0" fmla="*/ 182 w 307"/>
              <a:gd name="T1" fmla="*/ 268 h 320"/>
              <a:gd name="T2" fmla="*/ 307 w 307"/>
              <a:gd name="T3" fmla="*/ 283 h 320"/>
              <a:gd name="T4" fmla="*/ 307 w 307"/>
              <a:gd name="T5" fmla="*/ 52 h 320"/>
              <a:gd name="T6" fmla="*/ 173 w 307"/>
              <a:gd name="T7" fmla="*/ 48 h 320"/>
              <a:gd name="T8" fmla="*/ 0 w 307"/>
              <a:gd name="T9" fmla="*/ 26 h 320"/>
              <a:gd name="T10" fmla="*/ 0 w 307"/>
              <a:gd name="T11" fmla="*/ 270 h 320"/>
              <a:gd name="T12" fmla="*/ 182 w 307"/>
              <a:gd name="T13" fmla="*/ 268 h 320"/>
            </a:gdLst>
            <a:ahLst/>
            <a:cxnLst>
              <a:cxn ang="0">
                <a:pos x="T0" y="T1"/>
              </a:cxn>
              <a:cxn ang="0">
                <a:pos x="T2" y="T3"/>
              </a:cxn>
              <a:cxn ang="0">
                <a:pos x="T4" y="T5"/>
              </a:cxn>
              <a:cxn ang="0">
                <a:pos x="T6" y="T7"/>
              </a:cxn>
              <a:cxn ang="0">
                <a:pos x="T8" y="T9"/>
              </a:cxn>
              <a:cxn ang="0">
                <a:pos x="T10" y="T11"/>
              </a:cxn>
              <a:cxn ang="0">
                <a:pos x="T12" y="T13"/>
              </a:cxn>
            </a:cxnLst>
            <a:rect l="0" t="0" r="r" b="b"/>
            <a:pathLst>
              <a:path w="307" h="320">
                <a:moveTo>
                  <a:pt x="182" y="268"/>
                </a:moveTo>
                <a:cubicBezTo>
                  <a:pt x="262" y="233"/>
                  <a:pt x="307" y="283"/>
                  <a:pt x="307" y="283"/>
                </a:cubicBezTo>
                <a:cubicBezTo>
                  <a:pt x="307" y="52"/>
                  <a:pt x="307" y="52"/>
                  <a:pt x="307" y="52"/>
                </a:cubicBezTo>
                <a:cubicBezTo>
                  <a:pt x="307" y="52"/>
                  <a:pt x="279" y="0"/>
                  <a:pt x="173" y="48"/>
                </a:cubicBezTo>
                <a:cubicBezTo>
                  <a:pt x="65" y="93"/>
                  <a:pt x="0" y="26"/>
                  <a:pt x="0" y="26"/>
                </a:cubicBezTo>
                <a:cubicBezTo>
                  <a:pt x="0" y="270"/>
                  <a:pt x="0" y="270"/>
                  <a:pt x="0" y="270"/>
                </a:cubicBezTo>
                <a:cubicBezTo>
                  <a:pt x="3" y="270"/>
                  <a:pt x="63" y="320"/>
                  <a:pt x="182" y="268"/>
                </a:cubicBez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sp macro="" textlink="">
        <xdr:nvSpPr>
          <xdr:cNvPr id="39" name="Freeform 106">
            <a:extLst>
              <a:ext uri="{FF2B5EF4-FFF2-40B4-BE49-F238E27FC236}">
                <a16:creationId xmlns:a16="http://schemas.microsoft.com/office/drawing/2014/main" id="{0D57343B-3D64-EC5E-5FB7-40C75F91B8D2}"/>
              </a:ext>
            </a:extLst>
          </xdr:cNvPr>
          <xdr:cNvSpPr>
            <a:spLocks noEditPoints="1"/>
          </xdr:cNvSpPr>
        </xdr:nvSpPr>
        <xdr:spPr bwMode="auto">
          <a:xfrm>
            <a:off x="11339513" y="1620838"/>
            <a:ext cx="590550" cy="590550"/>
          </a:xfrm>
          <a:custGeom>
            <a:avLst/>
            <a:gdLst>
              <a:gd name="T0" fmla="*/ 948 w 1939"/>
              <a:gd name="T1" fmla="*/ 950 h 1944"/>
              <a:gd name="T2" fmla="*/ 1371 w 1939"/>
              <a:gd name="T3" fmla="*/ 490 h 1944"/>
              <a:gd name="T4" fmla="*/ 1231 w 1939"/>
              <a:gd name="T5" fmla="*/ 24 h 1944"/>
              <a:gd name="T6" fmla="*/ 1188 w 1939"/>
              <a:gd name="T7" fmla="*/ 24 h 1944"/>
              <a:gd name="T8" fmla="*/ 1162 w 1939"/>
              <a:gd name="T9" fmla="*/ 510 h 1944"/>
              <a:gd name="T10" fmla="*/ 1030 w 1939"/>
              <a:gd name="T11" fmla="*/ 564 h 1944"/>
              <a:gd name="T12" fmla="*/ 961 w 1939"/>
              <a:gd name="T13" fmla="*/ 566 h 1944"/>
              <a:gd name="T14" fmla="*/ 1084 w 1939"/>
              <a:gd name="T15" fmla="*/ 518 h 1944"/>
              <a:gd name="T16" fmla="*/ 1166 w 1939"/>
              <a:gd name="T17" fmla="*/ 488 h 1944"/>
              <a:gd name="T18" fmla="*/ 1006 w 1939"/>
              <a:gd name="T19" fmla="*/ 499 h 1944"/>
              <a:gd name="T20" fmla="*/ 874 w 1939"/>
              <a:gd name="T21" fmla="*/ 1557 h 1944"/>
              <a:gd name="T22" fmla="*/ 47 w 1939"/>
              <a:gd name="T23" fmla="*/ 1944 h 1944"/>
              <a:gd name="T24" fmla="*/ 1492 w 1939"/>
              <a:gd name="T25" fmla="*/ 1912 h 1944"/>
              <a:gd name="T26" fmla="*/ 736 w 1939"/>
              <a:gd name="T27" fmla="*/ 1024 h 1944"/>
              <a:gd name="T28" fmla="*/ 667 w 1939"/>
              <a:gd name="T29" fmla="*/ 1022 h 1944"/>
              <a:gd name="T30" fmla="*/ 596 w 1939"/>
              <a:gd name="T31" fmla="*/ 961 h 1944"/>
              <a:gd name="T32" fmla="*/ 557 w 1939"/>
              <a:gd name="T33" fmla="*/ 883 h 1944"/>
              <a:gd name="T34" fmla="*/ 561 w 1939"/>
              <a:gd name="T35" fmla="*/ 851 h 1944"/>
              <a:gd name="T36" fmla="*/ 589 w 1939"/>
              <a:gd name="T37" fmla="*/ 855 h 1944"/>
              <a:gd name="T38" fmla="*/ 602 w 1939"/>
              <a:gd name="T39" fmla="*/ 907 h 1944"/>
              <a:gd name="T40" fmla="*/ 678 w 1939"/>
              <a:gd name="T41" fmla="*/ 985 h 1944"/>
              <a:gd name="T42" fmla="*/ 736 w 1939"/>
              <a:gd name="T43" fmla="*/ 1024 h 1944"/>
              <a:gd name="T44" fmla="*/ 676 w 1939"/>
              <a:gd name="T45" fmla="*/ 758 h 1944"/>
              <a:gd name="T46" fmla="*/ 624 w 1939"/>
              <a:gd name="T47" fmla="*/ 760 h 1944"/>
              <a:gd name="T48" fmla="*/ 686 w 1939"/>
              <a:gd name="T49" fmla="*/ 715 h 1944"/>
              <a:gd name="T50" fmla="*/ 823 w 1939"/>
              <a:gd name="T51" fmla="*/ 637 h 1944"/>
              <a:gd name="T52" fmla="*/ 838 w 1939"/>
              <a:gd name="T53" fmla="*/ 631 h 1944"/>
              <a:gd name="T54" fmla="*/ 890 w 1939"/>
              <a:gd name="T55" fmla="*/ 633 h 1944"/>
              <a:gd name="T56" fmla="*/ 769 w 1939"/>
              <a:gd name="T57" fmla="*/ 698 h 1944"/>
              <a:gd name="T58" fmla="*/ 948 w 1939"/>
              <a:gd name="T59" fmla="*/ 1164 h 1944"/>
              <a:gd name="T60" fmla="*/ 840 w 1939"/>
              <a:gd name="T61" fmla="*/ 1117 h 1944"/>
              <a:gd name="T62" fmla="*/ 792 w 1939"/>
              <a:gd name="T63" fmla="*/ 1093 h 1944"/>
              <a:gd name="T64" fmla="*/ 885 w 1939"/>
              <a:gd name="T65" fmla="*/ 1095 h 1944"/>
              <a:gd name="T66" fmla="*/ 1058 w 1939"/>
              <a:gd name="T67" fmla="*/ 1166 h 1944"/>
              <a:gd name="T68" fmla="*/ 969 w 1939"/>
              <a:gd name="T69" fmla="*/ 1171 h 1944"/>
              <a:gd name="T70" fmla="*/ 1237 w 1939"/>
              <a:gd name="T71" fmla="*/ 1728 h 1944"/>
              <a:gd name="T72" fmla="*/ 1047 w 1939"/>
              <a:gd name="T73" fmla="*/ 1849 h 1944"/>
              <a:gd name="T74" fmla="*/ 950 w 1939"/>
              <a:gd name="T75" fmla="*/ 1842 h 1944"/>
              <a:gd name="T76" fmla="*/ 1147 w 1939"/>
              <a:gd name="T77" fmla="*/ 1719 h 1944"/>
              <a:gd name="T78" fmla="*/ 1237 w 1939"/>
              <a:gd name="T79" fmla="*/ 1728 h 1944"/>
              <a:gd name="T80" fmla="*/ 1244 w 1939"/>
              <a:gd name="T81" fmla="*/ 1294 h 1944"/>
              <a:gd name="T82" fmla="*/ 1131 w 1939"/>
              <a:gd name="T83" fmla="*/ 1236 h 1944"/>
              <a:gd name="T84" fmla="*/ 1237 w 1939"/>
              <a:gd name="T85" fmla="*/ 1238 h 1944"/>
              <a:gd name="T86" fmla="*/ 1304 w 1939"/>
              <a:gd name="T87" fmla="*/ 1266 h 1944"/>
              <a:gd name="T88" fmla="*/ 1395 w 1939"/>
              <a:gd name="T89" fmla="*/ 1315 h 1944"/>
              <a:gd name="T90" fmla="*/ 1322 w 1939"/>
              <a:gd name="T91" fmla="*/ 1322 h 1944"/>
              <a:gd name="T92" fmla="*/ 1283 w 1939"/>
              <a:gd name="T93" fmla="*/ 1309 h 1944"/>
              <a:gd name="T94" fmla="*/ 1473 w 1939"/>
              <a:gd name="T95" fmla="*/ 1460 h 1944"/>
              <a:gd name="T96" fmla="*/ 1440 w 1939"/>
              <a:gd name="T97" fmla="*/ 1544 h 1944"/>
              <a:gd name="T98" fmla="*/ 1369 w 1939"/>
              <a:gd name="T99" fmla="*/ 1624 h 1944"/>
              <a:gd name="T100" fmla="*/ 1289 w 1939"/>
              <a:gd name="T101" fmla="*/ 1629 h 1944"/>
              <a:gd name="T102" fmla="*/ 1350 w 1939"/>
              <a:gd name="T103" fmla="*/ 1566 h 1944"/>
              <a:gd name="T104" fmla="*/ 1421 w 1939"/>
              <a:gd name="T105" fmla="*/ 1434 h 1944"/>
              <a:gd name="T106" fmla="*/ 1468 w 1939"/>
              <a:gd name="T107" fmla="*/ 1430 h 1944"/>
              <a:gd name="T108" fmla="*/ 1473 w 1939"/>
              <a:gd name="T109" fmla="*/ 1460 h 194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1939" h="1944">
                <a:moveTo>
                  <a:pt x="1866" y="1391"/>
                </a:moveTo>
                <a:cubicBezTo>
                  <a:pt x="1773" y="1115"/>
                  <a:pt x="1106" y="1011"/>
                  <a:pt x="948" y="950"/>
                </a:cubicBezTo>
                <a:cubicBezTo>
                  <a:pt x="827" y="905"/>
                  <a:pt x="684" y="784"/>
                  <a:pt x="1380" y="534"/>
                </a:cubicBezTo>
                <a:cubicBezTo>
                  <a:pt x="1404" y="525"/>
                  <a:pt x="1397" y="490"/>
                  <a:pt x="1371" y="490"/>
                </a:cubicBezTo>
                <a:cubicBezTo>
                  <a:pt x="1231" y="490"/>
                  <a:pt x="1231" y="490"/>
                  <a:pt x="1231" y="490"/>
                </a:cubicBezTo>
                <a:cubicBezTo>
                  <a:pt x="1231" y="24"/>
                  <a:pt x="1231" y="24"/>
                  <a:pt x="1231" y="24"/>
                </a:cubicBezTo>
                <a:cubicBezTo>
                  <a:pt x="1231" y="11"/>
                  <a:pt x="1220" y="0"/>
                  <a:pt x="1207" y="0"/>
                </a:cubicBezTo>
                <a:cubicBezTo>
                  <a:pt x="1198" y="0"/>
                  <a:pt x="1188" y="11"/>
                  <a:pt x="1188" y="24"/>
                </a:cubicBezTo>
                <a:cubicBezTo>
                  <a:pt x="1188" y="501"/>
                  <a:pt x="1188" y="501"/>
                  <a:pt x="1188" y="501"/>
                </a:cubicBezTo>
                <a:cubicBezTo>
                  <a:pt x="1177" y="505"/>
                  <a:pt x="1166" y="508"/>
                  <a:pt x="1162" y="510"/>
                </a:cubicBezTo>
                <a:cubicBezTo>
                  <a:pt x="1142" y="518"/>
                  <a:pt x="1116" y="527"/>
                  <a:pt x="1090" y="538"/>
                </a:cubicBezTo>
                <a:cubicBezTo>
                  <a:pt x="1062" y="549"/>
                  <a:pt x="1043" y="557"/>
                  <a:pt x="1030" y="564"/>
                </a:cubicBezTo>
                <a:cubicBezTo>
                  <a:pt x="1026" y="566"/>
                  <a:pt x="1023" y="566"/>
                  <a:pt x="1019" y="566"/>
                </a:cubicBezTo>
                <a:cubicBezTo>
                  <a:pt x="961" y="566"/>
                  <a:pt x="961" y="566"/>
                  <a:pt x="961" y="566"/>
                </a:cubicBezTo>
                <a:cubicBezTo>
                  <a:pt x="959" y="566"/>
                  <a:pt x="959" y="564"/>
                  <a:pt x="961" y="562"/>
                </a:cubicBezTo>
                <a:cubicBezTo>
                  <a:pt x="1084" y="518"/>
                  <a:pt x="1084" y="518"/>
                  <a:pt x="1084" y="518"/>
                </a:cubicBezTo>
                <a:cubicBezTo>
                  <a:pt x="1110" y="508"/>
                  <a:pt x="1138" y="499"/>
                  <a:pt x="1157" y="490"/>
                </a:cubicBezTo>
                <a:cubicBezTo>
                  <a:pt x="1160" y="490"/>
                  <a:pt x="1164" y="488"/>
                  <a:pt x="1166" y="488"/>
                </a:cubicBezTo>
                <a:cubicBezTo>
                  <a:pt x="1075" y="488"/>
                  <a:pt x="1075" y="488"/>
                  <a:pt x="1075" y="488"/>
                </a:cubicBezTo>
                <a:cubicBezTo>
                  <a:pt x="1052" y="488"/>
                  <a:pt x="1030" y="492"/>
                  <a:pt x="1006" y="499"/>
                </a:cubicBezTo>
                <a:cubicBezTo>
                  <a:pt x="751" y="577"/>
                  <a:pt x="296" y="713"/>
                  <a:pt x="341" y="933"/>
                </a:cubicBezTo>
                <a:cubicBezTo>
                  <a:pt x="401" y="1236"/>
                  <a:pt x="1239" y="1387"/>
                  <a:pt x="874" y="1557"/>
                </a:cubicBezTo>
                <a:cubicBezTo>
                  <a:pt x="656" y="1659"/>
                  <a:pt x="293" y="1795"/>
                  <a:pt x="36" y="1879"/>
                </a:cubicBezTo>
                <a:cubicBezTo>
                  <a:pt x="0" y="1890"/>
                  <a:pt x="8" y="1944"/>
                  <a:pt x="47" y="1944"/>
                </a:cubicBezTo>
                <a:cubicBezTo>
                  <a:pt x="1369" y="1944"/>
                  <a:pt x="1369" y="1944"/>
                  <a:pt x="1369" y="1944"/>
                </a:cubicBezTo>
                <a:cubicBezTo>
                  <a:pt x="1412" y="1944"/>
                  <a:pt x="1453" y="1933"/>
                  <a:pt x="1492" y="1912"/>
                </a:cubicBezTo>
                <a:cubicBezTo>
                  <a:pt x="1635" y="1827"/>
                  <a:pt x="1939" y="1605"/>
                  <a:pt x="1866" y="1391"/>
                </a:cubicBezTo>
                <a:close/>
                <a:moveTo>
                  <a:pt x="736" y="1024"/>
                </a:moveTo>
                <a:cubicBezTo>
                  <a:pt x="674" y="1024"/>
                  <a:pt x="674" y="1024"/>
                  <a:pt x="674" y="1024"/>
                </a:cubicBezTo>
                <a:cubicBezTo>
                  <a:pt x="671" y="1024"/>
                  <a:pt x="669" y="1024"/>
                  <a:pt x="667" y="1022"/>
                </a:cubicBezTo>
                <a:cubicBezTo>
                  <a:pt x="665" y="1020"/>
                  <a:pt x="661" y="1017"/>
                  <a:pt x="658" y="1015"/>
                </a:cubicBezTo>
                <a:cubicBezTo>
                  <a:pt x="641" y="1002"/>
                  <a:pt x="617" y="985"/>
                  <a:pt x="596" y="961"/>
                </a:cubicBezTo>
                <a:cubicBezTo>
                  <a:pt x="585" y="950"/>
                  <a:pt x="576" y="937"/>
                  <a:pt x="570" y="924"/>
                </a:cubicBezTo>
                <a:cubicBezTo>
                  <a:pt x="563" y="912"/>
                  <a:pt x="559" y="896"/>
                  <a:pt x="557" y="883"/>
                </a:cubicBezTo>
                <a:cubicBezTo>
                  <a:pt x="557" y="883"/>
                  <a:pt x="555" y="870"/>
                  <a:pt x="557" y="855"/>
                </a:cubicBezTo>
                <a:cubicBezTo>
                  <a:pt x="557" y="853"/>
                  <a:pt x="559" y="851"/>
                  <a:pt x="561" y="851"/>
                </a:cubicBezTo>
                <a:cubicBezTo>
                  <a:pt x="587" y="851"/>
                  <a:pt x="587" y="851"/>
                  <a:pt x="587" y="851"/>
                </a:cubicBezTo>
                <a:cubicBezTo>
                  <a:pt x="589" y="851"/>
                  <a:pt x="589" y="853"/>
                  <a:pt x="589" y="855"/>
                </a:cubicBezTo>
                <a:cubicBezTo>
                  <a:pt x="589" y="868"/>
                  <a:pt x="591" y="879"/>
                  <a:pt x="591" y="879"/>
                </a:cubicBezTo>
                <a:cubicBezTo>
                  <a:pt x="594" y="888"/>
                  <a:pt x="596" y="894"/>
                  <a:pt x="602" y="907"/>
                </a:cubicBezTo>
                <a:cubicBezTo>
                  <a:pt x="607" y="918"/>
                  <a:pt x="615" y="927"/>
                  <a:pt x="624" y="937"/>
                </a:cubicBezTo>
                <a:cubicBezTo>
                  <a:pt x="641" y="957"/>
                  <a:pt x="661" y="972"/>
                  <a:pt x="678" y="985"/>
                </a:cubicBezTo>
                <a:cubicBezTo>
                  <a:pt x="691" y="994"/>
                  <a:pt x="721" y="1011"/>
                  <a:pt x="736" y="1020"/>
                </a:cubicBezTo>
                <a:cubicBezTo>
                  <a:pt x="738" y="1022"/>
                  <a:pt x="736" y="1024"/>
                  <a:pt x="736" y="1024"/>
                </a:cubicBezTo>
                <a:close/>
                <a:moveTo>
                  <a:pt x="702" y="739"/>
                </a:moveTo>
                <a:cubicBezTo>
                  <a:pt x="689" y="747"/>
                  <a:pt x="680" y="756"/>
                  <a:pt x="676" y="758"/>
                </a:cubicBezTo>
                <a:cubicBezTo>
                  <a:pt x="674" y="760"/>
                  <a:pt x="671" y="760"/>
                  <a:pt x="671" y="760"/>
                </a:cubicBezTo>
                <a:cubicBezTo>
                  <a:pt x="624" y="760"/>
                  <a:pt x="624" y="760"/>
                  <a:pt x="624" y="760"/>
                </a:cubicBezTo>
                <a:cubicBezTo>
                  <a:pt x="622" y="760"/>
                  <a:pt x="622" y="758"/>
                  <a:pt x="624" y="758"/>
                </a:cubicBezTo>
                <a:cubicBezTo>
                  <a:pt x="637" y="750"/>
                  <a:pt x="671" y="726"/>
                  <a:pt x="686" y="715"/>
                </a:cubicBezTo>
                <a:cubicBezTo>
                  <a:pt x="704" y="702"/>
                  <a:pt x="730" y="687"/>
                  <a:pt x="753" y="674"/>
                </a:cubicBezTo>
                <a:cubicBezTo>
                  <a:pt x="779" y="659"/>
                  <a:pt x="803" y="646"/>
                  <a:pt x="823" y="637"/>
                </a:cubicBezTo>
                <a:cubicBezTo>
                  <a:pt x="825" y="635"/>
                  <a:pt x="829" y="635"/>
                  <a:pt x="831" y="633"/>
                </a:cubicBezTo>
                <a:cubicBezTo>
                  <a:pt x="833" y="633"/>
                  <a:pt x="836" y="631"/>
                  <a:pt x="838" y="631"/>
                </a:cubicBezTo>
                <a:cubicBezTo>
                  <a:pt x="890" y="631"/>
                  <a:pt x="890" y="631"/>
                  <a:pt x="890" y="631"/>
                </a:cubicBezTo>
                <a:cubicBezTo>
                  <a:pt x="892" y="631"/>
                  <a:pt x="892" y="633"/>
                  <a:pt x="890" y="633"/>
                </a:cubicBezTo>
                <a:cubicBezTo>
                  <a:pt x="879" y="637"/>
                  <a:pt x="848" y="650"/>
                  <a:pt x="836" y="659"/>
                </a:cubicBezTo>
                <a:cubicBezTo>
                  <a:pt x="816" y="670"/>
                  <a:pt x="792" y="683"/>
                  <a:pt x="769" y="698"/>
                </a:cubicBezTo>
                <a:cubicBezTo>
                  <a:pt x="740" y="711"/>
                  <a:pt x="717" y="726"/>
                  <a:pt x="702" y="739"/>
                </a:cubicBezTo>
                <a:close/>
                <a:moveTo>
                  <a:pt x="948" y="1164"/>
                </a:moveTo>
                <a:cubicBezTo>
                  <a:pt x="937" y="1160"/>
                  <a:pt x="924" y="1153"/>
                  <a:pt x="911" y="1149"/>
                </a:cubicBezTo>
                <a:cubicBezTo>
                  <a:pt x="885" y="1138"/>
                  <a:pt x="859" y="1125"/>
                  <a:pt x="840" y="1117"/>
                </a:cubicBezTo>
                <a:cubicBezTo>
                  <a:pt x="825" y="1110"/>
                  <a:pt x="803" y="1099"/>
                  <a:pt x="792" y="1095"/>
                </a:cubicBezTo>
                <a:cubicBezTo>
                  <a:pt x="790" y="1095"/>
                  <a:pt x="792" y="1093"/>
                  <a:pt x="792" y="1093"/>
                </a:cubicBezTo>
                <a:cubicBezTo>
                  <a:pt x="877" y="1093"/>
                  <a:pt x="877" y="1093"/>
                  <a:pt x="877" y="1093"/>
                </a:cubicBezTo>
                <a:cubicBezTo>
                  <a:pt x="879" y="1093"/>
                  <a:pt x="881" y="1093"/>
                  <a:pt x="885" y="1095"/>
                </a:cubicBezTo>
                <a:cubicBezTo>
                  <a:pt x="898" y="1102"/>
                  <a:pt x="913" y="1106"/>
                  <a:pt x="926" y="1112"/>
                </a:cubicBezTo>
                <a:cubicBezTo>
                  <a:pt x="963" y="1128"/>
                  <a:pt x="1026" y="1153"/>
                  <a:pt x="1058" y="1166"/>
                </a:cubicBezTo>
                <a:cubicBezTo>
                  <a:pt x="1060" y="1166"/>
                  <a:pt x="1060" y="1171"/>
                  <a:pt x="1058" y="1171"/>
                </a:cubicBezTo>
                <a:cubicBezTo>
                  <a:pt x="969" y="1171"/>
                  <a:pt x="969" y="1171"/>
                  <a:pt x="969" y="1171"/>
                </a:cubicBezTo>
                <a:cubicBezTo>
                  <a:pt x="963" y="1169"/>
                  <a:pt x="954" y="1166"/>
                  <a:pt x="948" y="1164"/>
                </a:cubicBezTo>
                <a:close/>
                <a:moveTo>
                  <a:pt x="1237" y="1728"/>
                </a:moveTo>
                <a:cubicBezTo>
                  <a:pt x="1203" y="1752"/>
                  <a:pt x="1095" y="1825"/>
                  <a:pt x="1064" y="1845"/>
                </a:cubicBezTo>
                <a:cubicBezTo>
                  <a:pt x="1060" y="1849"/>
                  <a:pt x="1054" y="1849"/>
                  <a:pt x="1047" y="1849"/>
                </a:cubicBezTo>
                <a:cubicBezTo>
                  <a:pt x="952" y="1849"/>
                  <a:pt x="952" y="1849"/>
                  <a:pt x="952" y="1849"/>
                </a:cubicBezTo>
                <a:cubicBezTo>
                  <a:pt x="948" y="1849"/>
                  <a:pt x="946" y="1845"/>
                  <a:pt x="950" y="1842"/>
                </a:cubicBezTo>
                <a:cubicBezTo>
                  <a:pt x="989" y="1819"/>
                  <a:pt x="1110" y="1741"/>
                  <a:pt x="1136" y="1724"/>
                </a:cubicBezTo>
                <a:cubicBezTo>
                  <a:pt x="1140" y="1722"/>
                  <a:pt x="1142" y="1719"/>
                  <a:pt x="1147" y="1719"/>
                </a:cubicBezTo>
                <a:cubicBezTo>
                  <a:pt x="1233" y="1719"/>
                  <a:pt x="1233" y="1719"/>
                  <a:pt x="1233" y="1719"/>
                </a:cubicBezTo>
                <a:cubicBezTo>
                  <a:pt x="1239" y="1722"/>
                  <a:pt x="1242" y="1726"/>
                  <a:pt x="1237" y="1728"/>
                </a:cubicBezTo>
                <a:close/>
                <a:moveTo>
                  <a:pt x="1263" y="1302"/>
                </a:moveTo>
                <a:cubicBezTo>
                  <a:pt x="1257" y="1300"/>
                  <a:pt x="1250" y="1296"/>
                  <a:pt x="1244" y="1294"/>
                </a:cubicBezTo>
                <a:cubicBezTo>
                  <a:pt x="1207" y="1277"/>
                  <a:pt x="1157" y="1255"/>
                  <a:pt x="1129" y="1242"/>
                </a:cubicBezTo>
                <a:cubicBezTo>
                  <a:pt x="1127" y="1240"/>
                  <a:pt x="1127" y="1236"/>
                  <a:pt x="1131" y="1236"/>
                </a:cubicBezTo>
                <a:cubicBezTo>
                  <a:pt x="1224" y="1236"/>
                  <a:pt x="1224" y="1236"/>
                  <a:pt x="1224" y="1236"/>
                </a:cubicBezTo>
                <a:cubicBezTo>
                  <a:pt x="1229" y="1236"/>
                  <a:pt x="1233" y="1236"/>
                  <a:pt x="1237" y="1238"/>
                </a:cubicBezTo>
                <a:cubicBezTo>
                  <a:pt x="1246" y="1242"/>
                  <a:pt x="1255" y="1246"/>
                  <a:pt x="1265" y="1248"/>
                </a:cubicBezTo>
                <a:cubicBezTo>
                  <a:pt x="1278" y="1255"/>
                  <a:pt x="1291" y="1259"/>
                  <a:pt x="1304" y="1266"/>
                </a:cubicBezTo>
                <a:cubicBezTo>
                  <a:pt x="1317" y="1272"/>
                  <a:pt x="1328" y="1277"/>
                  <a:pt x="1339" y="1283"/>
                </a:cubicBezTo>
                <a:cubicBezTo>
                  <a:pt x="1352" y="1290"/>
                  <a:pt x="1380" y="1307"/>
                  <a:pt x="1395" y="1315"/>
                </a:cubicBezTo>
                <a:cubicBezTo>
                  <a:pt x="1397" y="1318"/>
                  <a:pt x="1397" y="1322"/>
                  <a:pt x="1393" y="1322"/>
                </a:cubicBezTo>
                <a:cubicBezTo>
                  <a:pt x="1322" y="1322"/>
                  <a:pt x="1322" y="1322"/>
                  <a:pt x="1322" y="1322"/>
                </a:cubicBezTo>
                <a:cubicBezTo>
                  <a:pt x="1313" y="1322"/>
                  <a:pt x="1304" y="1320"/>
                  <a:pt x="1296" y="1315"/>
                </a:cubicBezTo>
                <a:cubicBezTo>
                  <a:pt x="1291" y="1313"/>
                  <a:pt x="1287" y="1311"/>
                  <a:pt x="1283" y="1309"/>
                </a:cubicBezTo>
                <a:cubicBezTo>
                  <a:pt x="1276" y="1307"/>
                  <a:pt x="1270" y="1305"/>
                  <a:pt x="1263" y="1302"/>
                </a:cubicBezTo>
                <a:close/>
                <a:moveTo>
                  <a:pt x="1473" y="1460"/>
                </a:moveTo>
                <a:cubicBezTo>
                  <a:pt x="1473" y="1473"/>
                  <a:pt x="1468" y="1488"/>
                  <a:pt x="1462" y="1503"/>
                </a:cubicBezTo>
                <a:cubicBezTo>
                  <a:pt x="1455" y="1518"/>
                  <a:pt x="1449" y="1531"/>
                  <a:pt x="1440" y="1544"/>
                </a:cubicBezTo>
                <a:cubicBezTo>
                  <a:pt x="1423" y="1570"/>
                  <a:pt x="1401" y="1592"/>
                  <a:pt x="1386" y="1607"/>
                </a:cubicBezTo>
                <a:cubicBezTo>
                  <a:pt x="1380" y="1614"/>
                  <a:pt x="1373" y="1620"/>
                  <a:pt x="1369" y="1624"/>
                </a:cubicBezTo>
                <a:cubicBezTo>
                  <a:pt x="1365" y="1629"/>
                  <a:pt x="1360" y="1629"/>
                  <a:pt x="1356" y="1629"/>
                </a:cubicBezTo>
                <a:cubicBezTo>
                  <a:pt x="1289" y="1629"/>
                  <a:pt x="1289" y="1629"/>
                  <a:pt x="1289" y="1629"/>
                </a:cubicBezTo>
                <a:cubicBezTo>
                  <a:pt x="1285" y="1629"/>
                  <a:pt x="1283" y="1624"/>
                  <a:pt x="1287" y="1620"/>
                </a:cubicBezTo>
                <a:cubicBezTo>
                  <a:pt x="1306" y="1605"/>
                  <a:pt x="1339" y="1575"/>
                  <a:pt x="1350" y="1566"/>
                </a:cubicBezTo>
                <a:cubicBezTo>
                  <a:pt x="1365" y="1553"/>
                  <a:pt x="1382" y="1531"/>
                  <a:pt x="1397" y="1512"/>
                </a:cubicBezTo>
                <a:cubicBezTo>
                  <a:pt x="1417" y="1486"/>
                  <a:pt x="1421" y="1449"/>
                  <a:pt x="1421" y="1434"/>
                </a:cubicBezTo>
                <a:cubicBezTo>
                  <a:pt x="1421" y="1432"/>
                  <a:pt x="1423" y="1430"/>
                  <a:pt x="1425" y="1430"/>
                </a:cubicBezTo>
                <a:cubicBezTo>
                  <a:pt x="1468" y="1430"/>
                  <a:pt x="1468" y="1430"/>
                  <a:pt x="1468" y="1430"/>
                </a:cubicBezTo>
                <a:cubicBezTo>
                  <a:pt x="1471" y="1430"/>
                  <a:pt x="1473" y="1432"/>
                  <a:pt x="1473" y="1434"/>
                </a:cubicBezTo>
                <a:cubicBezTo>
                  <a:pt x="1473" y="1441"/>
                  <a:pt x="1473" y="1449"/>
                  <a:pt x="1473" y="1460"/>
                </a:cubicBezTo>
                <a:close/>
              </a:path>
            </a:pathLst>
          </a:custGeom>
          <a:grpFill/>
          <a:ln>
            <a:solidFill>
              <a:schemeClr val="tx2"/>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AU" sz="1800" b="0" i="0" u="none" strike="noStrike" kern="1200" cap="none" spc="0" normalizeH="0" baseline="0">
              <a:ln>
                <a:noFill/>
              </a:ln>
              <a:solidFill>
                <a:srgbClr val="4D4D4D"/>
              </a:solidFill>
              <a:effectLst/>
              <a:uLnTx/>
              <a:uFillTx/>
              <a:latin typeface="Arial" panose="020B0604020202020204"/>
              <a:ea typeface="+mn-ea"/>
              <a:cs typeface="+mn-cs"/>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clyn.Mazzucchelli\AppData\Roaming\de-mydocs.corp.riotinto.org\mydocs$\Users\hannah.j.garnaut\Desktop\bne-homedrive1\homedrive$\Users\anthony.deakin\Desktop\RT%20CRM%20Assessment%20Tool%20Final%20ENG%20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7AE18-EC07-4559-A837-3B723CFB522B}">
  <sheetPr>
    <tabColor theme="1"/>
  </sheetPr>
  <dimension ref="B1:E12"/>
  <sheetViews>
    <sheetView showGridLines="0" tabSelected="1" workbookViewId="0">
      <selection activeCell="C12" sqref="C12:E12"/>
    </sheetView>
  </sheetViews>
  <sheetFormatPr defaultRowHeight="14.25" x14ac:dyDescent="0.45"/>
  <cols>
    <col min="1" max="1" width="3.86328125" style="87" customWidth="1"/>
    <col min="2" max="2" width="6.796875" style="87" customWidth="1"/>
    <col min="3" max="5" width="48.9296875" style="87" customWidth="1"/>
    <col min="6" max="16384" width="9.06640625" style="87"/>
  </cols>
  <sheetData>
    <row r="1" spans="2:5" ht="14.65" thickBot="1" x14ac:dyDescent="0.5"/>
    <row r="2" spans="2:5" ht="25.5" customHeight="1" x14ac:dyDescent="0.45">
      <c r="B2" s="137" t="s">
        <v>178</v>
      </c>
      <c r="C2" s="138"/>
      <c r="D2" s="138"/>
      <c r="E2" s="139"/>
    </row>
    <row r="3" spans="2:5" ht="25.5" customHeight="1" thickBot="1" x14ac:dyDescent="0.5">
      <c r="B3" s="140" t="s">
        <v>2</v>
      </c>
      <c r="C3" s="141"/>
      <c r="D3" s="141"/>
      <c r="E3" s="142"/>
    </row>
    <row r="4" spans="2:5" ht="14.65" thickBot="1" x14ac:dyDescent="0.5"/>
    <row r="5" spans="2:5" x14ac:dyDescent="0.45">
      <c r="B5" s="132" t="s">
        <v>180</v>
      </c>
      <c r="C5" s="88"/>
      <c r="D5" s="88"/>
      <c r="E5" s="89"/>
    </row>
    <row r="6" spans="2:5" ht="110.25" customHeight="1" thickBot="1" x14ac:dyDescent="0.5">
      <c r="B6" s="133"/>
      <c r="C6" s="129" t="s">
        <v>179</v>
      </c>
      <c r="D6" s="129"/>
      <c r="E6" s="136"/>
    </row>
    <row r="7" spans="2:5" ht="14.65" thickBot="1" x14ac:dyDescent="0.5"/>
    <row r="8" spans="2:5" x14ac:dyDescent="0.45">
      <c r="B8" s="132" t="s">
        <v>183</v>
      </c>
      <c r="C8" s="134" t="s">
        <v>182</v>
      </c>
      <c r="D8" s="134"/>
      <c r="E8" s="135"/>
    </row>
    <row r="9" spans="2:5" ht="241.5" customHeight="1" thickBot="1" x14ac:dyDescent="0.5">
      <c r="B9" s="133"/>
      <c r="C9" s="129" t="s">
        <v>181</v>
      </c>
      <c r="D9" s="130"/>
      <c r="E9" s="131"/>
    </row>
    <row r="10" spans="2:5" ht="14.65" thickBot="1" x14ac:dyDescent="0.5"/>
    <row r="11" spans="2:5" x14ac:dyDescent="0.45">
      <c r="B11" s="132" t="s">
        <v>184</v>
      </c>
      <c r="C11" s="134" t="s">
        <v>185</v>
      </c>
      <c r="D11" s="134"/>
      <c r="E11" s="135"/>
    </row>
    <row r="12" spans="2:5" ht="252" customHeight="1" thickBot="1" x14ac:dyDescent="0.5">
      <c r="B12" s="133"/>
      <c r="C12" s="129" t="s">
        <v>186</v>
      </c>
      <c r="D12" s="130"/>
      <c r="E12" s="131"/>
    </row>
  </sheetData>
  <mergeCells count="10">
    <mergeCell ref="B2:E2"/>
    <mergeCell ref="B3:E3"/>
    <mergeCell ref="C9:E9"/>
    <mergeCell ref="B8:B9"/>
    <mergeCell ref="B5:B6"/>
    <mergeCell ref="C8:E8"/>
    <mergeCell ref="B11:B12"/>
    <mergeCell ref="C11:E11"/>
    <mergeCell ref="C12:E12"/>
    <mergeCell ref="C6:E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DC273-5591-48D4-BD02-0522FDDDFAA7}">
  <sheetPr>
    <tabColor theme="4"/>
  </sheetPr>
  <dimension ref="A1:JP236"/>
  <sheetViews>
    <sheetView view="pageBreakPreview" zoomScale="55" zoomScaleNormal="70" zoomScaleSheetLayoutView="55" workbookViewId="0">
      <pane xSplit="2" ySplit="2" topLeftCell="C3" activePane="bottomRight" state="frozen"/>
      <selection pane="topRight" activeCell="C1" sqref="C1"/>
      <selection pane="bottomLeft" activeCell="A3" sqref="A3"/>
      <selection pane="bottomRight" activeCell="C3" sqref="C3"/>
    </sheetView>
  </sheetViews>
  <sheetFormatPr defaultColWidth="9.1328125" defaultRowHeight="23.25" x14ac:dyDescent="0.7"/>
  <cols>
    <col min="1" max="1" width="29.59765625" style="41" customWidth="1"/>
    <col min="2" max="2" width="139.265625" style="33" customWidth="1"/>
    <col min="3" max="3" width="164.86328125" style="42" customWidth="1"/>
    <col min="4" max="4" width="164.86328125" style="43" customWidth="1"/>
    <col min="5" max="5" width="176.1328125" style="43" customWidth="1"/>
    <col min="6" max="276" width="9.1328125" style="32"/>
    <col min="277" max="16384" width="9.1328125" style="33"/>
  </cols>
  <sheetData>
    <row r="1" spans="1:276" s="30" customFormat="1" ht="115.15" customHeight="1" x14ac:dyDescent="0.7">
      <c r="A1" s="60" t="s">
        <v>0</v>
      </c>
      <c r="B1" s="60" t="s">
        <v>1</v>
      </c>
      <c r="C1" s="61" t="s">
        <v>175</v>
      </c>
      <c r="D1" s="61" t="s">
        <v>176</v>
      </c>
      <c r="E1" s="61" t="s">
        <v>177</v>
      </c>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c r="EM1" s="29"/>
      <c r="EN1" s="29"/>
      <c r="EO1" s="29"/>
      <c r="EP1" s="29"/>
      <c r="EQ1" s="29"/>
      <c r="ER1" s="29"/>
      <c r="ES1" s="29"/>
      <c r="ET1" s="29"/>
      <c r="EU1" s="29"/>
      <c r="EV1" s="29"/>
      <c r="EW1" s="29"/>
      <c r="EX1" s="29"/>
      <c r="EY1" s="29"/>
      <c r="EZ1" s="29"/>
      <c r="FA1" s="29"/>
      <c r="FB1" s="29"/>
      <c r="FC1" s="29"/>
      <c r="FD1" s="29"/>
      <c r="FE1" s="29"/>
      <c r="FF1" s="29"/>
      <c r="FG1" s="29"/>
      <c r="FH1" s="29"/>
      <c r="FI1" s="29"/>
      <c r="FJ1" s="29"/>
      <c r="FK1" s="29"/>
      <c r="FL1" s="29"/>
      <c r="FM1" s="29"/>
      <c r="FN1" s="29"/>
      <c r="FO1" s="29"/>
      <c r="FP1" s="29"/>
      <c r="FQ1" s="29"/>
      <c r="FR1" s="29"/>
      <c r="FS1" s="29"/>
      <c r="FT1" s="29"/>
      <c r="FU1" s="29"/>
      <c r="FV1" s="29"/>
      <c r="FW1" s="29"/>
      <c r="FX1" s="29"/>
      <c r="FY1" s="29"/>
      <c r="FZ1" s="29"/>
      <c r="GA1" s="29"/>
      <c r="GB1" s="29"/>
      <c r="GC1" s="29"/>
      <c r="GD1" s="29"/>
      <c r="GE1" s="29"/>
      <c r="GF1" s="29"/>
      <c r="GG1" s="29"/>
      <c r="GH1" s="29"/>
      <c r="GI1" s="29"/>
      <c r="GJ1" s="29"/>
      <c r="GK1" s="29"/>
      <c r="GL1" s="29"/>
      <c r="GM1" s="29"/>
      <c r="GN1" s="29"/>
      <c r="GO1" s="29"/>
      <c r="GP1" s="29"/>
      <c r="GQ1" s="29"/>
      <c r="GR1" s="29"/>
      <c r="GS1" s="29"/>
      <c r="GT1" s="29"/>
      <c r="GU1" s="29"/>
      <c r="GV1" s="29"/>
      <c r="GW1" s="29"/>
      <c r="GX1" s="29"/>
      <c r="GY1" s="29"/>
      <c r="GZ1" s="29"/>
      <c r="HA1" s="29"/>
      <c r="HB1" s="29"/>
      <c r="HC1" s="29"/>
      <c r="HD1" s="29"/>
      <c r="HE1" s="29"/>
      <c r="HF1" s="29"/>
      <c r="HG1" s="29"/>
      <c r="HH1" s="29"/>
      <c r="HI1" s="29"/>
      <c r="HJ1" s="29"/>
      <c r="HK1" s="29"/>
      <c r="HL1" s="29"/>
      <c r="HM1" s="29"/>
      <c r="HN1" s="29"/>
      <c r="HO1" s="29"/>
      <c r="HP1" s="29"/>
      <c r="HQ1" s="29"/>
      <c r="HR1" s="29"/>
      <c r="HS1" s="29"/>
      <c r="HT1" s="29"/>
      <c r="HU1" s="29"/>
      <c r="HV1" s="29"/>
      <c r="HW1" s="29"/>
      <c r="HX1" s="29"/>
      <c r="HY1" s="29"/>
      <c r="HZ1" s="29"/>
      <c r="IA1" s="29"/>
      <c r="IB1" s="29"/>
      <c r="IC1" s="29"/>
      <c r="ID1" s="29"/>
      <c r="IE1" s="29"/>
      <c r="IF1" s="29"/>
      <c r="IG1" s="29"/>
      <c r="IH1" s="29"/>
      <c r="II1" s="29"/>
      <c r="IJ1" s="29"/>
      <c r="IK1" s="29"/>
      <c r="IL1" s="29"/>
      <c r="IM1" s="29"/>
      <c r="IN1" s="29"/>
      <c r="IO1" s="29"/>
      <c r="IP1" s="29"/>
      <c r="IQ1" s="29"/>
      <c r="IR1" s="29"/>
      <c r="IS1" s="29"/>
      <c r="IT1" s="29"/>
      <c r="IU1" s="29"/>
      <c r="IV1" s="29"/>
      <c r="IW1" s="29"/>
      <c r="IX1" s="29"/>
      <c r="IY1" s="29"/>
      <c r="IZ1" s="29"/>
      <c r="JA1" s="29"/>
      <c r="JB1" s="29"/>
      <c r="JC1" s="29"/>
      <c r="JD1" s="29"/>
      <c r="JE1" s="29"/>
      <c r="JF1" s="29"/>
      <c r="JG1" s="29"/>
      <c r="JH1" s="29"/>
      <c r="JI1" s="29"/>
      <c r="JJ1" s="29"/>
      <c r="JK1" s="29"/>
      <c r="JL1" s="29"/>
      <c r="JM1" s="29"/>
      <c r="JN1" s="29"/>
      <c r="JO1" s="29"/>
      <c r="JP1" s="29"/>
    </row>
    <row r="2" spans="1:276" s="30" customFormat="1" x14ac:dyDescent="0.7">
      <c r="A2" s="108" t="s">
        <v>19</v>
      </c>
      <c r="B2" s="117" t="s">
        <v>23</v>
      </c>
      <c r="C2" s="118"/>
      <c r="D2" s="118"/>
      <c r="E2" s="11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29"/>
      <c r="IV2" s="29"/>
      <c r="IW2" s="29"/>
      <c r="IX2" s="29"/>
      <c r="IY2" s="29"/>
      <c r="IZ2" s="29"/>
      <c r="JA2" s="29"/>
      <c r="JB2" s="29"/>
      <c r="JC2" s="29"/>
      <c r="JD2" s="29"/>
      <c r="JE2" s="29"/>
      <c r="JF2" s="29"/>
      <c r="JG2" s="29"/>
      <c r="JH2" s="29"/>
      <c r="JI2" s="29"/>
      <c r="JJ2" s="29"/>
      <c r="JK2" s="29"/>
      <c r="JL2" s="29"/>
      <c r="JM2" s="29"/>
      <c r="JN2" s="29"/>
      <c r="JO2" s="29"/>
      <c r="JP2" s="29"/>
    </row>
    <row r="3" spans="1:276" ht="361.5" customHeight="1" x14ac:dyDescent="0.45">
      <c r="A3" s="109"/>
      <c r="B3" s="35" t="s">
        <v>27</v>
      </c>
      <c r="C3" s="58" t="s">
        <v>36</v>
      </c>
      <c r="D3" s="35" t="s">
        <v>37</v>
      </c>
      <c r="E3" s="31" t="s">
        <v>38</v>
      </c>
    </row>
    <row r="4" spans="1:276" ht="361.5" customHeight="1" x14ac:dyDescent="0.45">
      <c r="A4" s="109"/>
      <c r="B4" s="35" t="s">
        <v>28</v>
      </c>
      <c r="C4" s="31" t="s">
        <v>39</v>
      </c>
      <c r="D4" s="34" t="s">
        <v>40</v>
      </c>
      <c r="E4" s="31" t="s">
        <v>41</v>
      </c>
    </row>
    <row r="5" spans="1:276" ht="22.5" x14ac:dyDescent="0.45">
      <c r="A5" s="110" t="s">
        <v>20</v>
      </c>
      <c r="B5" s="120" t="s">
        <v>24</v>
      </c>
      <c r="C5" s="121"/>
      <c r="D5" s="121"/>
      <c r="E5" s="122"/>
    </row>
    <row r="6" spans="1:276" ht="361.5" customHeight="1" x14ac:dyDescent="0.45">
      <c r="A6" s="111"/>
      <c r="B6" s="35" t="s">
        <v>29</v>
      </c>
      <c r="C6" s="31" t="s">
        <v>42</v>
      </c>
      <c r="D6" s="34" t="s">
        <v>43</v>
      </c>
      <c r="E6" s="36" t="s">
        <v>44</v>
      </c>
    </row>
    <row r="7" spans="1:276" ht="361.5" customHeight="1" x14ac:dyDescent="0.45">
      <c r="A7" s="111"/>
      <c r="B7" s="35" t="s">
        <v>30</v>
      </c>
      <c r="C7" s="31" t="s">
        <v>45</v>
      </c>
      <c r="D7" s="34" t="s">
        <v>46</v>
      </c>
      <c r="E7" s="59" t="s">
        <v>47</v>
      </c>
    </row>
    <row r="8" spans="1:276" ht="22.5" x14ac:dyDescent="0.45">
      <c r="A8" s="112" t="s">
        <v>21</v>
      </c>
      <c r="B8" s="123" t="s">
        <v>25</v>
      </c>
      <c r="C8" s="124"/>
      <c r="D8" s="124"/>
      <c r="E8" s="125"/>
    </row>
    <row r="9" spans="1:276" ht="361.5" customHeight="1" x14ac:dyDescent="0.45">
      <c r="A9" s="113"/>
      <c r="B9" s="35" t="s">
        <v>31</v>
      </c>
      <c r="C9" s="31" t="s">
        <v>48</v>
      </c>
      <c r="D9" s="34" t="s">
        <v>49</v>
      </c>
      <c r="E9" s="36" t="s">
        <v>50</v>
      </c>
    </row>
    <row r="10" spans="1:276" ht="361.5" customHeight="1" x14ac:dyDescent="0.45">
      <c r="A10" s="114"/>
      <c r="B10" s="35" t="s">
        <v>32</v>
      </c>
      <c r="C10" s="31" t="s">
        <v>51</v>
      </c>
      <c r="D10" s="37" t="s">
        <v>52</v>
      </c>
      <c r="E10" s="31" t="s">
        <v>53</v>
      </c>
    </row>
    <row r="11" spans="1:276" ht="22.5" x14ac:dyDescent="0.45">
      <c r="A11" s="115" t="s">
        <v>22</v>
      </c>
      <c r="B11" s="126" t="s">
        <v>26</v>
      </c>
      <c r="C11" s="127"/>
      <c r="D11" s="127"/>
      <c r="E11" s="128"/>
    </row>
    <row r="12" spans="1:276" ht="364.5" customHeight="1" x14ac:dyDescent="0.45">
      <c r="A12" s="116"/>
      <c r="B12" s="35" t="s">
        <v>33</v>
      </c>
      <c r="C12" s="31" t="s">
        <v>54</v>
      </c>
      <c r="D12" s="34" t="s">
        <v>55</v>
      </c>
      <c r="E12" s="36" t="s">
        <v>56</v>
      </c>
    </row>
    <row r="13" spans="1:276" ht="364.5" customHeight="1" x14ac:dyDescent="0.45">
      <c r="A13" s="116"/>
      <c r="B13" s="35" t="s">
        <v>34</v>
      </c>
      <c r="C13" s="31" t="s">
        <v>57</v>
      </c>
      <c r="D13" s="34" t="s">
        <v>58</v>
      </c>
      <c r="E13" s="36" t="s">
        <v>59</v>
      </c>
    </row>
    <row r="14" spans="1:276" ht="364.5" customHeight="1" x14ac:dyDescent="0.45">
      <c r="A14" s="116"/>
      <c r="B14" s="35" t="s">
        <v>35</v>
      </c>
      <c r="C14" s="31" t="s">
        <v>60</v>
      </c>
      <c r="D14" s="34" t="s">
        <v>61</v>
      </c>
      <c r="E14" s="36" t="s">
        <v>62</v>
      </c>
    </row>
    <row r="15" spans="1:276" ht="22.5" x14ac:dyDescent="0.45">
      <c r="A15" s="53"/>
      <c r="B15" s="54"/>
      <c r="C15" s="55"/>
      <c r="D15" s="56"/>
      <c r="E15" s="57"/>
    </row>
    <row r="16" spans="1:276" s="32" customFormat="1" x14ac:dyDescent="0.7">
      <c r="A16" s="38"/>
      <c r="C16" s="39"/>
      <c r="D16" s="40"/>
      <c r="E16" s="40"/>
    </row>
    <row r="17" spans="1:5" s="32" customFormat="1" x14ac:dyDescent="0.7">
      <c r="A17" s="38"/>
      <c r="C17" s="39"/>
      <c r="D17" s="40"/>
      <c r="E17" s="40"/>
    </row>
    <row r="18" spans="1:5" s="32" customFormat="1" x14ac:dyDescent="0.7">
      <c r="A18" s="38"/>
      <c r="C18" s="39"/>
      <c r="D18" s="40"/>
      <c r="E18" s="40"/>
    </row>
    <row r="19" spans="1:5" s="32" customFormat="1" x14ac:dyDescent="0.7">
      <c r="A19" s="38"/>
      <c r="C19" s="39"/>
      <c r="D19" s="40"/>
      <c r="E19" s="40"/>
    </row>
    <row r="20" spans="1:5" s="32" customFormat="1" x14ac:dyDescent="0.7">
      <c r="A20" s="38"/>
      <c r="C20" s="39"/>
      <c r="D20" s="40"/>
      <c r="E20" s="40"/>
    </row>
    <row r="21" spans="1:5" s="32" customFormat="1" x14ac:dyDescent="0.7">
      <c r="A21" s="38"/>
      <c r="C21" s="39"/>
      <c r="D21" s="40"/>
      <c r="E21" s="40"/>
    </row>
    <row r="22" spans="1:5" s="32" customFormat="1" x14ac:dyDescent="0.7">
      <c r="A22" s="38"/>
      <c r="C22" s="39"/>
      <c r="D22" s="40"/>
      <c r="E22" s="40"/>
    </row>
    <row r="23" spans="1:5" s="32" customFormat="1" x14ac:dyDescent="0.7">
      <c r="A23" s="38"/>
      <c r="C23" s="39"/>
      <c r="D23" s="40"/>
      <c r="E23" s="40"/>
    </row>
    <row r="24" spans="1:5" s="32" customFormat="1" x14ac:dyDescent="0.7">
      <c r="A24" s="38"/>
      <c r="C24" s="39"/>
      <c r="D24" s="40"/>
      <c r="E24" s="40"/>
    </row>
    <row r="25" spans="1:5" s="32" customFormat="1" x14ac:dyDescent="0.7">
      <c r="A25" s="38"/>
      <c r="C25" s="39"/>
      <c r="D25" s="40"/>
      <c r="E25" s="40"/>
    </row>
    <row r="26" spans="1:5" s="32" customFormat="1" x14ac:dyDescent="0.7">
      <c r="A26" s="38"/>
      <c r="C26" s="39"/>
      <c r="D26" s="40"/>
      <c r="E26" s="40"/>
    </row>
    <row r="27" spans="1:5" s="32" customFormat="1" x14ac:dyDescent="0.7">
      <c r="A27" s="38"/>
      <c r="C27" s="39"/>
      <c r="D27" s="40"/>
      <c r="E27" s="40"/>
    </row>
    <row r="28" spans="1:5" s="32" customFormat="1" x14ac:dyDescent="0.7">
      <c r="A28" s="38"/>
      <c r="C28" s="39"/>
      <c r="D28" s="40"/>
      <c r="E28" s="40"/>
    </row>
    <row r="29" spans="1:5" s="32" customFormat="1" x14ac:dyDescent="0.7">
      <c r="A29" s="38"/>
      <c r="C29" s="39"/>
      <c r="D29" s="40"/>
      <c r="E29" s="40"/>
    </row>
    <row r="30" spans="1:5" s="32" customFormat="1" x14ac:dyDescent="0.7">
      <c r="A30" s="38"/>
      <c r="C30" s="39"/>
      <c r="D30" s="40"/>
      <c r="E30" s="40"/>
    </row>
    <row r="31" spans="1:5" s="32" customFormat="1" x14ac:dyDescent="0.7">
      <c r="A31" s="38"/>
      <c r="C31" s="39"/>
      <c r="D31" s="40"/>
      <c r="E31" s="40"/>
    </row>
    <row r="32" spans="1:5" s="32" customFormat="1" x14ac:dyDescent="0.7">
      <c r="A32" s="38"/>
      <c r="C32" s="39"/>
      <c r="D32" s="40"/>
      <c r="E32" s="40"/>
    </row>
    <row r="33" spans="1:5" s="32" customFormat="1" x14ac:dyDescent="0.7">
      <c r="A33" s="38"/>
      <c r="C33" s="39"/>
      <c r="D33" s="40"/>
      <c r="E33" s="40"/>
    </row>
    <row r="34" spans="1:5" s="32" customFormat="1" x14ac:dyDescent="0.7">
      <c r="A34" s="38"/>
      <c r="C34" s="39"/>
      <c r="D34" s="40"/>
      <c r="E34" s="40"/>
    </row>
    <row r="35" spans="1:5" s="32" customFormat="1" x14ac:dyDescent="0.7">
      <c r="A35" s="38"/>
      <c r="C35" s="39"/>
      <c r="D35" s="40"/>
      <c r="E35" s="40"/>
    </row>
    <row r="36" spans="1:5" s="32" customFormat="1" x14ac:dyDescent="0.7">
      <c r="A36" s="38"/>
      <c r="C36" s="39"/>
      <c r="D36" s="40"/>
      <c r="E36" s="40"/>
    </row>
    <row r="37" spans="1:5" s="32" customFormat="1" x14ac:dyDescent="0.7">
      <c r="A37" s="38"/>
      <c r="C37" s="39"/>
      <c r="D37" s="40"/>
      <c r="E37" s="40"/>
    </row>
    <row r="38" spans="1:5" s="32" customFormat="1" x14ac:dyDescent="0.7">
      <c r="A38" s="38"/>
      <c r="C38" s="39"/>
      <c r="D38" s="40"/>
      <c r="E38" s="40"/>
    </row>
    <row r="39" spans="1:5" s="32" customFormat="1" x14ac:dyDescent="0.7">
      <c r="A39" s="38"/>
      <c r="C39" s="39"/>
      <c r="D39" s="40"/>
      <c r="E39" s="40"/>
    </row>
    <row r="40" spans="1:5" s="32" customFormat="1" x14ac:dyDescent="0.7">
      <c r="A40" s="38"/>
      <c r="C40" s="39"/>
      <c r="D40" s="40"/>
      <c r="E40" s="40"/>
    </row>
    <row r="41" spans="1:5" s="32" customFormat="1" x14ac:dyDescent="0.7">
      <c r="A41" s="38"/>
      <c r="C41" s="39"/>
      <c r="D41" s="40"/>
      <c r="E41" s="40"/>
    </row>
    <row r="42" spans="1:5" s="32" customFormat="1" x14ac:dyDescent="0.7">
      <c r="A42" s="38"/>
      <c r="C42" s="39"/>
      <c r="D42" s="40"/>
      <c r="E42" s="40"/>
    </row>
    <row r="43" spans="1:5" s="32" customFormat="1" x14ac:dyDescent="0.7">
      <c r="A43" s="38"/>
      <c r="C43" s="39"/>
      <c r="D43" s="40"/>
      <c r="E43" s="40"/>
    </row>
    <row r="44" spans="1:5" s="32" customFormat="1" x14ac:dyDescent="0.7">
      <c r="A44" s="38"/>
      <c r="C44" s="39"/>
      <c r="D44" s="40"/>
      <c r="E44" s="40"/>
    </row>
    <row r="45" spans="1:5" s="32" customFormat="1" x14ac:dyDescent="0.7">
      <c r="A45" s="38"/>
      <c r="C45" s="39"/>
      <c r="D45" s="40"/>
      <c r="E45" s="40"/>
    </row>
    <row r="46" spans="1:5" s="32" customFormat="1" x14ac:dyDescent="0.7">
      <c r="A46" s="38"/>
      <c r="C46" s="39"/>
      <c r="D46" s="40"/>
      <c r="E46" s="40"/>
    </row>
    <row r="47" spans="1:5" s="32" customFormat="1" x14ac:dyDescent="0.7">
      <c r="A47" s="38"/>
      <c r="C47" s="39"/>
      <c r="D47" s="40"/>
      <c r="E47" s="40"/>
    </row>
    <row r="48" spans="1:5" s="32" customFormat="1" x14ac:dyDescent="0.7">
      <c r="A48" s="38"/>
      <c r="C48" s="39"/>
      <c r="D48" s="40"/>
      <c r="E48" s="40"/>
    </row>
    <row r="49" spans="1:5" s="32" customFormat="1" x14ac:dyDescent="0.7">
      <c r="A49" s="38"/>
      <c r="C49" s="39"/>
      <c r="D49" s="40"/>
      <c r="E49" s="40"/>
    </row>
    <row r="50" spans="1:5" s="32" customFormat="1" x14ac:dyDescent="0.7">
      <c r="A50" s="38"/>
      <c r="C50" s="39"/>
      <c r="D50" s="40"/>
      <c r="E50" s="40"/>
    </row>
    <row r="51" spans="1:5" s="32" customFormat="1" x14ac:dyDescent="0.7">
      <c r="A51" s="38"/>
      <c r="C51" s="39"/>
      <c r="D51" s="40"/>
      <c r="E51" s="40"/>
    </row>
    <row r="52" spans="1:5" s="32" customFormat="1" x14ac:dyDescent="0.7">
      <c r="A52" s="38"/>
      <c r="C52" s="39"/>
      <c r="D52" s="40"/>
      <c r="E52" s="40"/>
    </row>
    <row r="53" spans="1:5" s="32" customFormat="1" x14ac:dyDescent="0.7">
      <c r="A53" s="38"/>
      <c r="C53" s="39"/>
      <c r="D53" s="40"/>
      <c r="E53" s="40"/>
    </row>
    <row r="54" spans="1:5" s="32" customFormat="1" x14ac:dyDescent="0.7">
      <c r="A54" s="38"/>
      <c r="C54" s="39"/>
      <c r="D54" s="40"/>
      <c r="E54" s="40"/>
    </row>
    <row r="55" spans="1:5" s="32" customFormat="1" x14ac:dyDescent="0.7">
      <c r="A55" s="38"/>
      <c r="C55" s="39"/>
      <c r="D55" s="40"/>
      <c r="E55" s="40"/>
    </row>
    <row r="56" spans="1:5" s="32" customFormat="1" x14ac:dyDescent="0.7">
      <c r="A56" s="38"/>
      <c r="C56" s="39"/>
      <c r="D56" s="40"/>
      <c r="E56" s="40"/>
    </row>
    <row r="57" spans="1:5" s="32" customFormat="1" x14ac:dyDescent="0.7">
      <c r="A57" s="38"/>
      <c r="C57" s="39"/>
      <c r="D57" s="40"/>
      <c r="E57" s="40"/>
    </row>
    <row r="58" spans="1:5" s="32" customFormat="1" x14ac:dyDescent="0.7">
      <c r="A58" s="38"/>
      <c r="C58" s="39"/>
      <c r="D58" s="40"/>
      <c r="E58" s="40"/>
    </row>
    <row r="59" spans="1:5" s="32" customFormat="1" x14ac:dyDescent="0.7">
      <c r="A59" s="38"/>
      <c r="C59" s="39"/>
      <c r="D59" s="40"/>
      <c r="E59" s="40"/>
    </row>
    <row r="60" spans="1:5" s="32" customFormat="1" x14ac:dyDescent="0.7">
      <c r="A60" s="38"/>
      <c r="C60" s="39"/>
      <c r="D60" s="40"/>
      <c r="E60" s="40"/>
    </row>
    <row r="61" spans="1:5" s="32" customFormat="1" x14ac:dyDescent="0.7">
      <c r="A61" s="38"/>
      <c r="C61" s="39"/>
      <c r="D61" s="40"/>
      <c r="E61" s="40"/>
    </row>
    <row r="62" spans="1:5" s="32" customFormat="1" x14ac:dyDescent="0.7">
      <c r="A62" s="38"/>
      <c r="C62" s="39"/>
      <c r="D62" s="40"/>
      <c r="E62" s="40"/>
    </row>
    <row r="63" spans="1:5" s="32" customFormat="1" x14ac:dyDescent="0.7">
      <c r="A63" s="38"/>
      <c r="C63" s="39"/>
      <c r="D63" s="40"/>
      <c r="E63" s="40"/>
    </row>
    <row r="64" spans="1:5" s="32" customFormat="1" x14ac:dyDescent="0.7">
      <c r="A64" s="38"/>
      <c r="C64" s="39"/>
      <c r="D64" s="40"/>
      <c r="E64" s="40"/>
    </row>
    <row r="65" spans="1:5" s="32" customFormat="1" x14ac:dyDescent="0.7">
      <c r="A65" s="38"/>
      <c r="C65" s="39"/>
      <c r="D65" s="40"/>
      <c r="E65" s="40"/>
    </row>
    <row r="66" spans="1:5" s="32" customFormat="1" x14ac:dyDescent="0.7">
      <c r="A66" s="38"/>
      <c r="C66" s="39"/>
      <c r="D66" s="40"/>
      <c r="E66" s="40"/>
    </row>
    <row r="67" spans="1:5" s="32" customFormat="1" x14ac:dyDescent="0.7">
      <c r="A67" s="38"/>
      <c r="C67" s="39"/>
      <c r="D67" s="40"/>
      <c r="E67" s="40"/>
    </row>
    <row r="68" spans="1:5" s="32" customFormat="1" x14ac:dyDescent="0.7">
      <c r="A68" s="38"/>
      <c r="C68" s="39"/>
      <c r="D68" s="40"/>
      <c r="E68" s="40"/>
    </row>
    <row r="69" spans="1:5" s="32" customFormat="1" x14ac:dyDescent="0.7">
      <c r="A69" s="38"/>
      <c r="C69" s="39"/>
      <c r="D69" s="40"/>
      <c r="E69" s="40"/>
    </row>
    <row r="70" spans="1:5" s="32" customFormat="1" x14ac:dyDescent="0.7">
      <c r="A70" s="38"/>
      <c r="C70" s="39"/>
      <c r="D70" s="40"/>
      <c r="E70" s="40"/>
    </row>
    <row r="71" spans="1:5" s="32" customFormat="1" x14ac:dyDescent="0.7">
      <c r="A71" s="38"/>
      <c r="C71" s="39"/>
      <c r="D71" s="40"/>
      <c r="E71" s="40"/>
    </row>
    <row r="72" spans="1:5" s="32" customFormat="1" x14ac:dyDescent="0.7">
      <c r="A72" s="38"/>
      <c r="C72" s="39"/>
      <c r="D72" s="40"/>
      <c r="E72" s="40"/>
    </row>
    <row r="73" spans="1:5" s="32" customFormat="1" x14ac:dyDescent="0.7">
      <c r="A73" s="38"/>
      <c r="C73" s="39"/>
      <c r="D73" s="40"/>
      <c r="E73" s="40"/>
    </row>
    <row r="74" spans="1:5" s="32" customFormat="1" x14ac:dyDescent="0.7">
      <c r="A74" s="38"/>
      <c r="C74" s="39"/>
      <c r="D74" s="40"/>
      <c r="E74" s="40"/>
    </row>
    <row r="75" spans="1:5" s="32" customFormat="1" x14ac:dyDescent="0.7">
      <c r="A75" s="38"/>
      <c r="C75" s="39"/>
      <c r="D75" s="40"/>
      <c r="E75" s="40"/>
    </row>
    <row r="76" spans="1:5" s="32" customFormat="1" x14ac:dyDescent="0.7">
      <c r="A76" s="38"/>
      <c r="C76" s="39"/>
      <c r="D76" s="40"/>
      <c r="E76" s="40"/>
    </row>
    <row r="77" spans="1:5" s="32" customFormat="1" x14ac:dyDescent="0.7">
      <c r="A77" s="38"/>
      <c r="C77" s="39"/>
      <c r="D77" s="40"/>
      <c r="E77" s="40"/>
    </row>
    <row r="78" spans="1:5" s="32" customFormat="1" x14ac:dyDescent="0.7">
      <c r="A78" s="38"/>
      <c r="C78" s="39"/>
      <c r="D78" s="40"/>
      <c r="E78" s="40"/>
    </row>
    <row r="79" spans="1:5" s="32" customFormat="1" x14ac:dyDescent="0.7">
      <c r="A79" s="38"/>
      <c r="C79" s="39"/>
      <c r="D79" s="40"/>
      <c r="E79" s="40"/>
    </row>
    <row r="80" spans="1:5" s="32" customFormat="1" x14ac:dyDescent="0.7">
      <c r="A80" s="38"/>
      <c r="C80" s="39"/>
      <c r="D80" s="40"/>
      <c r="E80" s="40"/>
    </row>
    <row r="81" spans="1:5" s="32" customFormat="1" x14ac:dyDescent="0.7">
      <c r="A81" s="38"/>
      <c r="C81" s="39"/>
      <c r="D81" s="40"/>
      <c r="E81" s="40"/>
    </row>
    <row r="82" spans="1:5" s="32" customFormat="1" x14ac:dyDescent="0.7">
      <c r="A82" s="38"/>
      <c r="C82" s="39"/>
      <c r="D82" s="40"/>
      <c r="E82" s="40"/>
    </row>
    <row r="83" spans="1:5" s="32" customFormat="1" x14ac:dyDescent="0.7">
      <c r="A83" s="38"/>
      <c r="C83" s="39"/>
      <c r="D83" s="40"/>
      <c r="E83" s="40"/>
    </row>
    <row r="84" spans="1:5" s="32" customFormat="1" x14ac:dyDescent="0.7">
      <c r="A84" s="38"/>
      <c r="C84" s="39"/>
      <c r="D84" s="40"/>
      <c r="E84" s="40"/>
    </row>
    <row r="85" spans="1:5" s="32" customFormat="1" x14ac:dyDescent="0.7">
      <c r="A85" s="38"/>
      <c r="C85" s="39"/>
      <c r="D85" s="40"/>
      <c r="E85" s="40"/>
    </row>
    <row r="86" spans="1:5" s="32" customFormat="1" x14ac:dyDescent="0.7">
      <c r="A86" s="38"/>
      <c r="C86" s="39"/>
      <c r="D86" s="40"/>
      <c r="E86" s="40"/>
    </row>
    <row r="87" spans="1:5" s="32" customFormat="1" x14ac:dyDescent="0.7">
      <c r="A87" s="38"/>
      <c r="C87" s="39"/>
      <c r="D87" s="40"/>
      <c r="E87" s="40"/>
    </row>
    <row r="88" spans="1:5" s="32" customFormat="1" x14ac:dyDescent="0.7">
      <c r="A88" s="38"/>
      <c r="C88" s="39"/>
      <c r="D88" s="40"/>
      <c r="E88" s="40"/>
    </row>
    <row r="89" spans="1:5" s="32" customFormat="1" x14ac:dyDescent="0.7">
      <c r="A89" s="38"/>
      <c r="C89" s="39"/>
      <c r="D89" s="40"/>
      <c r="E89" s="40"/>
    </row>
    <row r="90" spans="1:5" s="32" customFormat="1" x14ac:dyDescent="0.7">
      <c r="A90" s="38"/>
      <c r="C90" s="39"/>
      <c r="D90" s="40"/>
      <c r="E90" s="40"/>
    </row>
    <row r="91" spans="1:5" s="32" customFormat="1" x14ac:dyDescent="0.7">
      <c r="A91" s="38"/>
      <c r="C91" s="39"/>
      <c r="D91" s="40"/>
      <c r="E91" s="40"/>
    </row>
    <row r="92" spans="1:5" s="32" customFormat="1" x14ac:dyDescent="0.7">
      <c r="A92" s="38"/>
      <c r="C92" s="39"/>
      <c r="D92" s="40"/>
      <c r="E92" s="40"/>
    </row>
    <row r="93" spans="1:5" s="32" customFormat="1" x14ac:dyDescent="0.7">
      <c r="A93" s="38"/>
      <c r="C93" s="39"/>
      <c r="D93" s="40"/>
      <c r="E93" s="40"/>
    </row>
    <row r="94" spans="1:5" s="32" customFormat="1" x14ac:dyDescent="0.7">
      <c r="A94" s="38"/>
      <c r="C94" s="39"/>
      <c r="D94" s="40"/>
      <c r="E94" s="40"/>
    </row>
    <row r="95" spans="1:5" s="32" customFormat="1" x14ac:dyDescent="0.7">
      <c r="A95" s="38"/>
      <c r="C95" s="39"/>
      <c r="D95" s="40"/>
      <c r="E95" s="40"/>
    </row>
    <row r="96" spans="1:5" s="32" customFormat="1" x14ac:dyDescent="0.7">
      <c r="A96" s="38"/>
      <c r="C96" s="39"/>
      <c r="D96" s="40"/>
      <c r="E96" s="40"/>
    </row>
    <row r="97" spans="1:5" s="32" customFormat="1" x14ac:dyDescent="0.7">
      <c r="A97" s="38"/>
      <c r="C97" s="39"/>
      <c r="D97" s="40"/>
      <c r="E97" s="40"/>
    </row>
    <row r="98" spans="1:5" s="32" customFormat="1" x14ac:dyDescent="0.7">
      <c r="A98" s="38"/>
      <c r="C98" s="39"/>
      <c r="D98" s="40"/>
      <c r="E98" s="40"/>
    </row>
    <row r="99" spans="1:5" s="32" customFormat="1" x14ac:dyDescent="0.7">
      <c r="A99" s="38"/>
      <c r="C99" s="39"/>
      <c r="D99" s="40"/>
      <c r="E99" s="40"/>
    </row>
    <row r="100" spans="1:5" s="32" customFormat="1" x14ac:dyDescent="0.7">
      <c r="A100" s="38"/>
      <c r="C100" s="39"/>
      <c r="D100" s="40"/>
      <c r="E100" s="40"/>
    </row>
    <row r="101" spans="1:5" s="32" customFormat="1" x14ac:dyDescent="0.7">
      <c r="A101" s="38"/>
      <c r="C101" s="39"/>
      <c r="D101" s="40"/>
      <c r="E101" s="40"/>
    </row>
    <row r="102" spans="1:5" s="32" customFormat="1" x14ac:dyDescent="0.7">
      <c r="A102" s="38"/>
      <c r="C102" s="39"/>
      <c r="D102" s="40"/>
      <c r="E102" s="40"/>
    </row>
    <row r="103" spans="1:5" s="32" customFormat="1" x14ac:dyDescent="0.7">
      <c r="A103" s="38"/>
      <c r="C103" s="39"/>
      <c r="D103" s="40"/>
      <c r="E103" s="40"/>
    </row>
    <row r="104" spans="1:5" s="32" customFormat="1" x14ac:dyDescent="0.7">
      <c r="A104" s="38"/>
      <c r="C104" s="39"/>
      <c r="D104" s="40"/>
      <c r="E104" s="40"/>
    </row>
    <row r="105" spans="1:5" s="32" customFormat="1" x14ac:dyDescent="0.7">
      <c r="A105" s="38"/>
      <c r="C105" s="39"/>
      <c r="D105" s="40"/>
      <c r="E105" s="40"/>
    </row>
    <row r="106" spans="1:5" s="32" customFormat="1" x14ac:dyDescent="0.7">
      <c r="A106" s="38"/>
      <c r="C106" s="39"/>
      <c r="D106" s="40"/>
      <c r="E106" s="40"/>
    </row>
    <row r="107" spans="1:5" s="32" customFormat="1" x14ac:dyDescent="0.7">
      <c r="A107" s="38"/>
      <c r="C107" s="39"/>
      <c r="D107" s="40"/>
      <c r="E107" s="40"/>
    </row>
    <row r="108" spans="1:5" s="32" customFormat="1" x14ac:dyDescent="0.7">
      <c r="A108" s="38"/>
      <c r="C108" s="39"/>
      <c r="D108" s="40"/>
      <c r="E108" s="40"/>
    </row>
    <row r="109" spans="1:5" s="32" customFormat="1" x14ac:dyDescent="0.7">
      <c r="A109" s="38"/>
      <c r="C109" s="39"/>
      <c r="D109" s="40"/>
      <c r="E109" s="40"/>
    </row>
    <row r="110" spans="1:5" s="32" customFormat="1" x14ac:dyDescent="0.7">
      <c r="A110" s="38"/>
      <c r="C110" s="39"/>
      <c r="D110" s="40"/>
      <c r="E110" s="40"/>
    </row>
    <row r="111" spans="1:5" s="32" customFormat="1" x14ac:dyDescent="0.7">
      <c r="A111" s="38"/>
      <c r="C111" s="39"/>
      <c r="D111" s="40"/>
      <c r="E111" s="40"/>
    </row>
    <row r="112" spans="1:5" s="32" customFormat="1" x14ac:dyDescent="0.7">
      <c r="A112" s="38"/>
      <c r="C112" s="39"/>
      <c r="D112" s="40"/>
      <c r="E112" s="40"/>
    </row>
    <row r="113" spans="1:5" s="32" customFormat="1" x14ac:dyDescent="0.7">
      <c r="A113" s="38"/>
      <c r="C113" s="39"/>
      <c r="D113" s="40"/>
      <c r="E113" s="40"/>
    </row>
    <row r="114" spans="1:5" s="32" customFormat="1" x14ac:dyDescent="0.7">
      <c r="A114" s="38"/>
      <c r="C114" s="39"/>
      <c r="D114" s="40"/>
      <c r="E114" s="40"/>
    </row>
    <row r="115" spans="1:5" s="32" customFormat="1" x14ac:dyDescent="0.7">
      <c r="A115" s="38"/>
      <c r="C115" s="39"/>
      <c r="D115" s="40"/>
      <c r="E115" s="40"/>
    </row>
    <row r="116" spans="1:5" s="32" customFormat="1" x14ac:dyDescent="0.7">
      <c r="A116" s="38"/>
      <c r="C116" s="39"/>
      <c r="D116" s="40"/>
      <c r="E116" s="40"/>
    </row>
    <row r="117" spans="1:5" s="32" customFormat="1" x14ac:dyDescent="0.7">
      <c r="A117" s="38"/>
      <c r="C117" s="39"/>
      <c r="D117" s="40"/>
      <c r="E117" s="40"/>
    </row>
    <row r="118" spans="1:5" s="32" customFormat="1" x14ac:dyDescent="0.7">
      <c r="A118" s="38"/>
      <c r="C118" s="39"/>
      <c r="D118" s="40"/>
      <c r="E118" s="40"/>
    </row>
    <row r="119" spans="1:5" s="32" customFormat="1" x14ac:dyDescent="0.7">
      <c r="A119" s="38"/>
      <c r="C119" s="39"/>
      <c r="D119" s="40"/>
      <c r="E119" s="40"/>
    </row>
    <row r="120" spans="1:5" s="32" customFormat="1" x14ac:dyDescent="0.7">
      <c r="A120" s="38"/>
      <c r="C120" s="39"/>
      <c r="D120" s="40"/>
      <c r="E120" s="40"/>
    </row>
    <row r="121" spans="1:5" s="32" customFormat="1" x14ac:dyDescent="0.7">
      <c r="A121" s="38"/>
      <c r="C121" s="39"/>
      <c r="D121" s="40"/>
      <c r="E121" s="40"/>
    </row>
    <row r="122" spans="1:5" s="32" customFormat="1" x14ac:dyDescent="0.7">
      <c r="A122" s="38"/>
      <c r="C122" s="39"/>
      <c r="D122" s="40"/>
      <c r="E122" s="40"/>
    </row>
    <row r="123" spans="1:5" s="32" customFormat="1" x14ac:dyDescent="0.7">
      <c r="A123" s="38"/>
      <c r="C123" s="39"/>
      <c r="D123" s="40"/>
      <c r="E123" s="40"/>
    </row>
    <row r="124" spans="1:5" s="32" customFormat="1" x14ac:dyDescent="0.7">
      <c r="A124" s="38"/>
      <c r="C124" s="39"/>
      <c r="D124" s="40"/>
      <c r="E124" s="40"/>
    </row>
    <row r="125" spans="1:5" s="32" customFormat="1" x14ac:dyDescent="0.7">
      <c r="A125" s="38"/>
      <c r="C125" s="39"/>
      <c r="D125" s="40"/>
      <c r="E125" s="40"/>
    </row>
    <row r="126" spans="1:5" s="32" customFormat="1" x14ac:dyDescent="0.7">
      <c r="A126" s="38"/>
      <c r="C126" s="39"/>
      <c r="D126" s="40"/>
      <c r="E126" s="40"/>
    </row>
    <row r="127" spans="1:5" s="32" customFormat="1" x14ac:dyDescent="0.7">
      <c r="A127" s="38"/>
      <c r="C127" s="39"/>
      <c r="D127" s="40"/>
      <c r="E127" s="40"/>
    </row>
    <row r="128" spans="1:5" s="32" customFormat="1" x14ac:dyDescent="0.7">
      <c r="A128" s="38"/>
      <c r="C128" s="39"/>
      <c r="D128" s="40"/>
      <c r="E128" s="40"/>
    </row>
    <row r="129" spans="1:5" s="32" customFormat="1" x14ac:dyDescent="0.7">
      <c r="A129" s="38"/>
      <c r="C129" s="39"/>
      <c r="D129" s="40"/>
      <c r="E129" s="40"/>
    </row>
    <row r="130" spans="1:5" s="32" customFormat="1" x14ac:dyDescent="0.7">
      <c r="A130" s="38"/>
      <c r="C130" s="39"/>
      <c r="D130" s="40"/>
      <c r="E130" s="40"/>
    </row>
    <row r="131" spans="1:5" s="32" customFormat="1" x14ac:dyDescent="0.7">
      <c r="A131" s="38"/>
      <c r="C131" s="39"/>
      <c r="D131" s="40"/>
      <c r="E131" s="40"/>
    </row>
    <row r="132" spans="1:5" s="32" customFormat="1" x14ac:dyDescent="0.7">
      <c r="A132" s="38"/>
      <c r="C132" s="39"/>
      <c r="D132" s="40"/>
      <c r="E132" s="40"/>
    </row>
    <row r="133" spans="1:5" s="32" customFormat="1" x14ac:dyDescent="0.7">
      <c r="A133" s="38"/>
      <c r="C133" s="39"/>
      <c r="D133" s="40"/>
      <c r="E133" s="40"/>
    </row>
    <row r="134" spans="1:5" s="32" customFormat="1" x14ac:dyDescent="0.7">
      <c r="A134" s="38"/>
      <c r="C134" s="39"/>
      <c r="D134" s="40"/>
      <c r="E134" s="40"/>
    </row>
    <row r="135" spans="1:5" s="32" customFormat="1" x14ac:dyDescent="0.7">
      <c r="A135" s="38"/>
      <c r="C135" s="39"/>
      <c r="D135" s="40"/>
      <c r="E135" s="40"/>
    </row>
    <row r="136" spans="1:5" s="32" customFormat="1" x14ac:dyDescent="0.7">
      <c r="A136" s="38"/>
      <c r="C136" s="39"/>
      <c r="D136" s="40"/>
      <c r="E136" s="40"/>
    </row>
    <row r="137" spans="1:5" s="32" customFormat="1" x14ac:dyDescent="0.7">
      <c r="A137" s="38"/>
      <c r="C137" s="39"/>
      <c r="D137" s="40"/>
      <c r="E137" s="40"/>
    </row>
    <row r="138" spans="1:5" s="32" customFormat="1" x14ac:dyDescent="0.7">
      <c r="A138" s="38"/>
      <c r="C138" s="39"/>
      <c r="D138" s="40"/>
      <c r="E138" s="40"/>
    </row>
    <row r="139" spans="1:5" s="32" customFormat="1" x14ac:dyDescent="0.7">
      <c r="A139" s="38"/>
      <c r="C139" s="39"/>
      <c r="D139" s="40"/>
      <c r="E139" s="40"/>
    </row>
    <row r="140" spans="1:5" s="32" customFormat="1" x14ac:dyDescent="0.7">
      <c r="A140" s="38"/>
      <c r="C140" s="39"/>
      <c r="D140" s="40"/>
      <c r="E140" s="40"/>
    </row>
    <row r="141" spans="1:5" s="32" customFormat="1" x14ac:dyDescent="0.7">
      <c r="A141" s="38"/>
      <c r="C141" s="39"/>
      <c r="D141" s="40"/>
      <c r="E141" s="40"/>
    </row>
    <row r="142" spans="1:5" s="32" customFormat="1" x14ac:dyDescent="0.7">
      <c r="A142" s="38"/>
      <c r="C142" s="39"/>
      <c r="D142" s="40"/>
      <c r="E142" s="40"/>
    </row>
    <row r="143" spans="1:5" s="32" customFormat="1" x14ac:dyDescent="0.7">
      <c r="A143" s="38"/>
      <c r="C143" s="39"/>
      <c r="D143" s="40"/>
      <c r="E143" s="40"/>
    </row>
    <row r="144" spans="1:5" s="32" customFormat="1" x14ac:dyDescent="0.7">
      <c r="A144" s="38"/>
      <c r="C144" s="39"/>
      <c r="D144" s="40"/>
      <c r="E144" s="40"/>
    </row>
    <row r="145" spans="1:5" s="32" customFormat="1" x14ac:dyDescent="0.7">
      <c r="A145" s="38"/>
      <c r="C145" s="39"/>
      <c r="D145" s="40"/>
      <c r="E145" s="40"/>
    </row>
    <row r="146" spans="1:5" s="32" customFormat="1" x14ac:dyDescent="0.7">
      <c r="A146" s="38"/>
      <c r="C146" s="39"/>
      <c r="D146" s="40"/>
      <c r="E146" s="40"/>
    </row>
    <row r="147" spans="1:5" s="32" customFormat="1" x14ac:dyDescent="0.7">
      <c r="A147" s="38"/>
      <c r="C147" s="39"/>
      <c r="D147" s="40"/>
      <c r="E147" s="40"/>
    </row>
    <row r="148" spans="1:5" s="32" customFormat="1" x14ac:dyDescent="0.7">
      <c r="A148" s="38"/>
      <c r="C148" s="39"/>
      <c r="D148" s="40"/>
      <c r="E148" s="40"/>
    </row>
    <row r="149" spans="1:5" s="32" customFormat="1" x14ac:dyDescent="0.7">
      <c r="A149" s="38"/>
      <c r="C149" s="39"/>
      <c r="D149" s="40"/>
      <c r="E149" s="40"/>
    </row>
    <row r="150" spans="1:5" s="32" customFormat="1" x14ac:dyDescent="0.7">
      <c r="A150" s="38"/>
      <c r="C150" s="39"/>
      <c r="D150" s="40"/>
      <c r="E150" s="40"/>
    </row>
    <row r="151" spans="1:5" s="32" customFormat="1" x14ac:dyDescent="0.7">
      <c r="A151" s="38"/>
      <c r="C151" s="39"/>
      <c r="D151" s="40"/>
      <c r="E151" s="40"/>
    </row>
    <row r="152" spans="1:5" s="32" customFormat="1" x14ac:dyDescent="0.7">
      <c r="A152" s="38"/>
      <c r="C152" s="39"/>
      <c r="D152" s="40"/>
      <c r="E152" s="40"/>
    </row>
    <row r="153" spans="1:5" s="32" customFormat="1" x14ac:dyDescent="0.7">
      <c r="A153" s="38"/>
      <c r="C153" s="39"/>
      <c r="D153" s="40"/>
      <c r="E153" s="40"/>
    </row>
    <row r="154" spans="1:5" s="32" customFormat="1" x14ac:dyDescent="0.7">
      <c r="A154" s="38"/>
      <c r="C154" s="39"/>
      <c r="D154" s="40"/>
      <c r="E154" s="40"/>
    </row>
    <row r="155" spans="1:5" s="32" customFormat="1" x14ac:dyDescent="0.7">
      <c r="A155" s="38"/>
      <c r="C155" s="39"/>
      <c r="D155" s="40"/>
      <c r="E155" s="40"/>
    </row>
    <row r="156" spans="1:5" s="32" customFormat="1" x14ac:dyDescent="0.7">
      <c r="A156" s="38"/>
      <c r="C156" s="39"/>
      <c r="D156" s="40"/>
      <c r="E156" s="40"/>
    </row>
    <row r="157" spans="1:5" s="32" customFormat="1" x14ac:dyDescent="0.7">
      <c r="A157" s="38"/>
      <c r="C157" s="39"/>
      <c r="D157" s="40"/>
      <c r="E157" s="40"/>
    </row>
    <row r="158" spans="1:5" s="32" customFormat="1" x14ac:dyDescent="0.7">
      <c r="A158" s="38"/>
      <c r="C158" s="39"/>
      <c r="D158" s="40"/>
      <c r="E158" s="40"/>
    </row>
    <row r="159" spans="1:5" s="32" customFormat="1" x14ac:dyDescent="0.7">
      <c r="A159" s="38"/>
      <c r="C159" s="39"/>
      <c r="D159" s="40"/>
      <c r="E159" s="40"/>
    </row>
    <row r="160" spans="1:5" s="32" customFormat="1" x14ac:dyDescent="0.7">
      <c r="A160" s="38"/>
      <c r="C160" s="39"/>
      <c r="D160" s="40"/>
      <c r="E160" s="40"/>
    </row>
    <row r="161" spans="1:5" s="32" customFormat="1" x14ac:dyDescent="0.7">
      <c r="A161" s="38"/>
      <c r="C161" s="39"/>
      <c r="D161" s="40"/>
      <c r="E161" s="40"/>
    </row>
    <row r="162" spans="1:5" s="32" customFormat="1" x14ac:dyDescent="0.7">
      <c r="A162" s="38"/>
      <c r="C162" s="39"/>
      <c r="D162" s="40"/>
      <c r="E162" s="40"/>
    </row>
    <row r="163" spans="1:5" s="32" customFormat="1" x14ac:dyDescent="0.7">
      <c r="A163" s="38"/>
      <c r="C163" s="39"/>
      <c r="D163" s="40"/>
      <c r="E163" s="40"/>
    </row>
    <row r="164" spans="1:5" s="32" customFormat="1" x14ac:dyDescent="0.7">
      <c r="A164" s="38"/>
      <c r="C164" s="39"/>
      <c r="D164" s="40"/>
      <c r="E164" s="40"/>
    </row>
    <row r="165" spans="1:5" s="32" customFormat="1" x14ac:dyDescent="0.7">
      <c r="A165" s="38"/>
      <c r="C165" s="39"/>
      <c r="D165" s="40"/>
      <c r="E165" s="40"/>
    </row>
    <row r="166" spans="1:5" s="32" customFormat="1" x14ac:dyDescent="0.7">
      <c r="A166" s="38"/>
      <c r="C166" s="39"/>
      <c r="D166" s="40"/>
      <c r="E166" s="40"/>
    </row>
    <row r="167" spans="1:5" s="32" customFormat="1" x14ac:dyDescent="0.7">
      <c r="A167" s="38"/>
      <c r="C167" s="39"/>
      <c r="D167" s="40"/>
      <c r="E167" s="40"/>
    </row>
    <row r="168" spans="1:5" s="32" customFormat="1" x14ac:dyDescent="0.7">
      <c r="A168" s="38"/>
      <c r="C168" s="39"/>
      <c r="D168" s="40"/>
      <c r="E168" s="40"/>
    </row>
    <row r="169" spans="1:5" s="32" customFormat="1" x14ac:dyDescent="0.7">
      <c r="A169" s="38"/>
      <c r="C169" s="39"/>
      <c r="D169" s="40"/>
      <c r="E169" s="40"/>
    </row>
    <row r="170" spans="1:5" s="32" customFormat="1" x14ac:dyDescent="0.7">
      <c r="A170" s="38"/>
      <c r="C170" s="39"/>
      <c r="D170" s="40"/>
      <c r="E170" s="40"/>
    </row>
    <row r="171" spans="1:5" s="32" customFormat="1" x14ac:dyDescent="0.7">
      <c r="A171" s="38"/>
      <c r="C171" s="39"/>
      <c r="D171" s="40"/>
      <c r="E171" s="40"/>
    </row>
    <row r="172" spans="1:5" s="32" customFormat="1" x14ac:dyDescent="0.7">
      <c r="A172" s="38"/>
      <c r="C172" s="39"/>
      <c r="D172" s="40"/>
      <c r="E172" s="40"/>
    </row>
    <row r="173" spans="1:5" s="32" customFormat="1" x14ac:dyDescent="0.7">
      <c r="A173" s="38"/>
      <c r="C173" s="39"/>
      <c r="D173" s="40"/>
      <c r="E173" s="40"/>
    </row>
    <row r="174" spans="1:5" s="32" customFormat="1" x14ac:dyDescent="0.7">
      <c r="A174" s="38"/>
      <c r="C174" s="39"/>
      <c r="D174" s="40"/>
      <c r="E174" s="40"/>
    </row>
    <row r="175" spans="1:5" s="32" customFormat="1" x14ac:dyDescent="0.7">
      <c r="A175" s="38"/>
      <c r="C175" s="39"/>
      <c r="D175" s="40"/>
      <c r="E175" s="40"/>
    </row>
    <row r="176" spans="1:5" s="32" customFormat="1" x14ac:dyDescent="0.7">
      <c r="A176" s="38"/>
      <c r="C176" s="39"/>
      <c r="D176" s="40"/>
      <c r="E176" s="40"/>
    </row>
    <row r="177" spans="1:5" s="32" customFormat="1" x14ac:dyDescent="0.7">
      <c r="A177" s="38"/>
      <c r="C177" s="39"/>
      <c r="D177" s="40"/>
      <c r="E177" s="40"/>
    </row>
    <row r="178" spans="1:5" s="32" customFormat="1" x14ac:dyDescent="0.7">
      <c r="A178" s="38"/>
      <c r="C178" s="39"/>
      <c r="D178" s="40"/>
      <c r="E178" s="40"/>
    </row>
    <row r="179" spans="1:5" s="32" customFormat="1" x14ac:dyDescent="0.7">
      <c r="A179" s="38"/>
      <c r="C179" s="39"/>
      <c r="D179" s="40"/>
      <c r="E179" s="40"/>
    </row>
    <row r="180" spans="1:5" s="32" customFormat="1" x14ac:dyDescent="0.7">
      <c r="A180" s="38"/>
      <c r="C180" s="39"/>
      <c r="D180" s="40"/>
      <c r="E180" s="40"/>
    </row>
    <row r="181" spans="1:5" s="32" customFormat="1" x14ac:dyDescent="0.7">
      <c r="A181" s="38"/>
      <c r="C181" s="39"/>
      <c r="D181" s="40"/>
      <c r="E181" s="40"/>
    </row>
    <row r="182" spans="1:5" s="32" customFormat="1" x14ac:dyDescent="0.7">
      <c r="A182" s="38"/>
      <c r="C182" s="39"/>
      <c r="D182" s="40"/>
      <c r="E182" s="40"/>
    </row>
    <row r="183" spans="1:5" s="32" customFormat="1" x14ac:dyDescent="0.7">
      <c r="A183" s="38"/>
      <c r="C183" s="39"/>
      <c r="D183" s="40"/>
      <c r="E183" s="40"/>
    </row>
    <row r="184" spans="1:5" s="32" customFormat="1" x14ac:dyDescent="0.7">
      <c r="A184" s="38"/>
      <c r="C184" s="39"/>
      <c r="D184" s="40"/>
      <c r="E184" s="40"/>
    </row>
    <row r="185" spans="1:5" s="32" customFormat="1" x14ac:dyDescent="0.7">
      <c r="A185" s="38"/>
      <c r="C185" s="39"/>
      <c r="D185" s="40"/>
      <c r="E185" s="40"/>
    </row>
    <row r="186" spans="1:5" s="32" customFormat="1" x14ac:dyDescent="0.7">
      <c r="A186" s="38"/>
      <c r="C186" s="39"/>
      <c r="D186" s="40"/>
      <c r="E186" s="40"/>
    </row>
    <row r="187" spans="1:5" s="32" customFormat="1" x14ac:dyDescent="0.7">
      <c r="A187" s="38"/>
      <c r="C187" s="39"/>
      <c r="D187" s="40"/>
      <c r="E187" s="40"/>
    </row>
    <row r="188" spans="1:5" s="32" customFormat="1" x14ac:dyDescent="0.7">
      <c r="A188" s="38"/>
      <c r="C188" s="39"/>
      <c r="D188" s="40"/>
      <c r="E188" s="40"/>
    </row>
    <row r="189" spans="1:5" s="32" customFormat="1" x14ac:dyDescent="0.7">
      <c r="A189" s="38"/>
      <c r="C189" s="39"/>
      <c r="D189" s="40"/>
      <c r="E189" s="40"/>
    </row>
    <row r="190" spans="1:5" s="32" customFormat="1" x14ac:dyDescent="0.7">
      <c r="A190" s="38"/>
      <c r="C190" s="39"/>
      <c r="D190" s="40"/>
      <c r="E190" s="40"/>
    </row>
    <row r="191" spans="1:5" s="32" customFormat="1" x14ac:dyDescent="0.7">
      <c r="A191" s="38"/>
      <c r="C191" s="39"/>
      <c r="D191" s="40"/>
      <c r="E191" s="40"/>
    </row>
    <row r="192" spans="1:5" s="32" customFormat="1" x14ac:dyDescent="0.7">
      <c r="A192" s="38"/>
      <c r="C192" s="39"/>
      <c r="D192" s="40"/>
      <c r="E192" s="40"/>
    </row>
    <row r="193" spans="1:5" s="32" customFormat="1" x14ac:dyDescent="0.7">
      <c r="A193" s="38"/>
      <c r="C193" s="39"/>
      <c r="D193" s="40"/>
      <c r="E193" s="40"/>
    </row>
    <row r="194" spans="1:5" s="32" customFormat="1" x14ac:dyDescent="0.7">
      <c r="A194" s="38"/>
      <c r="C194" s="39"/>
      <c r="D194" s="40"/>
      <c r="E194" s="40"/>
    </row>
    <row r="195" spans="1:5" s="32" customFormat="1" x14ac:dyDescent="0.7">
      <c r="A195" s="38"/>
      <c r="C195" s="39"/>
      <c r="D195" s="40"/>
      <c r="E195" s="40"/>
    </row>
    <row r="196" spans="1:5" s="32" customFormat="1" x14ac:dyDescent="0.7">
      <c r="A196" s="38"/>
      <c r="C196" s="39"/>
      <c r="D196" s="40"/>
      <c r="E196" s="40"/>
    </row>
    <row r="197" spans="1:5" s="32" customFormat="1" x14ac:dyDescent="0.7">
      <c r="A197" s="38"/>
      <c r="C197" s="39"/>
      <c r="D197" s="40"/>
      <c r="E197" s="40"/>
    </row>
    <row r="198" spans="1:5" s="32" customFormat="1" x14ac:dyDescent="0.7">
      <c r="A198" s="38"/>
      <c r="C198" s="39"/>
      <c r="D198" s="40"/>
      <c r="E198" s="40"/>
    </row>
    <row r="199" spans="1:5" s="32" customFormat="1" x14ac:dyDescent="0.7">
      <c r="A199" s="38"/>
      <c r="C199" s="39"/>
      <c r="D199" s="40"/>
      <c r="E199" s="40"/>
    </row>
    <row r="200" spans="1:5" s="32" customFormat="1" x14ac:dyDescent="0.7">
      <c r="A200" s="38"/>
      <c r="C200" s="39"/>
      <c r="D200" s="40"/>
      <c r="E200" s="40"/>
    </row>
    <row r="201" spans="1:5" s="32" customFormat="1" x14ac:dyDescent="0.7">
      <c r="A201" s="38"/>
      <c r="C201" s="39"/>
      <c r="D201" s="40"/>
      <c r="E201" s="40"/>
    </row>
    <row r="202" spans="1:5" s="32" customFormat="1" x14ac:dyDescent="0.7">
      <c r="A202" s="38"/>
      <c r="C202" s="39"/>
      <c r="D202" s="40"/>
      <c r="E202" s="40"/>
    </row>
    <row r="203" spans="1:5" s="32" customFormat="1" x14ac:dyDescent="0.7">
      <c r="A203" s="38"/>
      <c r="C203" s="39"/>
      <c r="D203" s="40"/>
      <c r="E203" s="40"/>
    </row>
    <row r="204" spans="1:5" s="32" customFormat="1" x14ac:dyDescent="0.7">
      <c r="A204" s="38"/>
      <c r="C204" s="39"/>
      <c r="D204" s="40"/>
      <c r="E204" s="40"/>
    </row>
    <row r="205" spans="1:5" s="32" customFormat="1" x14ac:dyDescent="0.7">
      <c r="A205" s="38"/>
      <c r="C205" s="39"/>
      <c r="D205" s="40"/>
      <c r="E205" s="40"/>
    </row>
    <row r="206" spans="1:5" s="32" customFormat="1" x14ac:dyDescent="0.7">
      <c r="A206" s="38"/>
      <c r="C206" s="39"/>
      <c r="D206" s="40"/>
      <c r="E206" s="40"/>
    </row>
    <row r="207" spans="1:5" s="32" customFormat="1" x14ac:dyDescent="0.7">
      <c r="A207" s="38"/>
      <c r="C207" s="39"/>
      <c r="D207" s="40"/>
      <c r="E207" s="40"/>
    </row>
    <row r="208" spans="1:5" s="32" customFormat="1" x14ac:dyDescent="0.7">
      <c r="A208" s="38"/>
      <c r="C208" s="39"/>
      <c r="D208" s="40"/>
      <c r="E208" s="40"/>
    </row>
    <row r="209" spans="1:5" s="32" customFormat="1" x14ac:dyDescent="0.7">
      <c r="A209" s="38"/>
      <c r="C209" s="39"/>
      <c r="D209" s="40"/>
      <c r="E209" s="40"/>
    </row>
    <row r="210" spans="1:5" s="32" customFormat="1" x14ac:dyDescent="0.7">
      <c r="A210" s="38"/>
      <c r="C210" s="39"/>
      <c r="D210" s="40"/>
      <c r="E210" s="40"/>
    </row>
    <row r="211" spans="1:5" s="32" customFormat="1" x14ac:dyDescent="0.7">
      <c r="A211" s="38"/>
      <c r="C211" s="39"/>
      <c r="D211" s="40"/>
      <c r="E211" s="40"/>
    </row>
    <row r="212" spans="1:5" s="32" customFormat="1" x14ac:dyDescent="0.7">
      <c r="A212" s="38"/>
      <c r="C212" s="39"/>
      <c r="D212" s="40"/>
      <c r="E212" s="40"/>
    </row>
    <row r="213" spans="1:5" s="32" customFormat="1" x14ac:dyDescent="0.7">
      <c r="A213" s="38"/>
      <c r="C213" s="39"/>
      <c r="D213" s="40"/>
      <c r="E213" s="40"/>
    </row>
    <row r="214" spans="1:5" s="32" customFormat="1" x14ac:dyDescent="0.7">
      <c r="A214" s="38"/>
      <c r="C214" s="39"/>
      <c r="D214" s="40"/>
      <c r="E214" s="40"/>
    </row>
    <row r="215" spans="1:5" s="32" customFormat="1" x14ac:dyDescent="0.7">
      <c r="A215" s="38"/>
      <c r="C215" s="39"/>
      <c r="D215" s="40"/>
      <c r="E215" s="40"/>
    </row>
    <row r="216" spans="1:5" s="32" customFormat="1" x14ac:dyDescent="0.7">
      <c r="A216" s="38"/>
      <c r="C216" s="39"/>
      <c r="D216" s="40"/>
      <c r="E216" s="40"/>
    </row>
    <row r="217" spans="1:5" s="32" customFormat="1" x14ac:dyDescent="0.7">
      <c r="A217" s="38"/>
      <c r="C217" s="39"/>
      <c r="D217" s="40"/>
      <c r="E217" s="40"/>
    </row>
    <row r="218" spans="1:5" s="32" customFormat="1" x14ac:dyDescent="0.7">
      <c r="A218" s="38"/>
      <c r="C218" s="39"/>
      <c r="D218" s="40"/>
      <c r="E218" s="40"/>
    </row>
    <row r="219" spans="1:5" s="32" customFormat="1" x14ac:dyDescent="0.7">
      <c r="A219" s="38"/>
      <c r="C219" s="39"/>
      <c r="D219" s="40"/>
      <c r="E219" s="40"/>
    </row>
    <row r="220" spans="1:5" s="32" customFormat="1" x14ac:dyDescent="0.7">
      <c r="A220" s="38"/>
      <c r="C220" s="39"/>
      <c r="D220" s="40"/>
      <c r="E220" s="40"/>
    </row>
    <row r="221" spans="1:5" s="32" customFormat="1" x14ac:dyDescent="0.7">
      <c r="A221" s="38"/>
      <c r="C221" s="39"/>
      <c r="D221" s="40"/>
      <c r="E221" s="40"/>
    </row>
    <row r="222" spans="1:5" s="32" customFormat="1" x14ac:dyDescent="0.7">
      <c r="A222" s="38"/>
      <c r="C222" s="39"/>
      <c r="D222" s="40"/>
      <c r="E222" s="40"/>
    </row>
    <row r="223" spans="1:5" s="32" customFormat="1" x14ac:dyDescent="0.7">
      <c r="A223" s="38"/>
      <c r="C223" s="39"/>
      <c r="D223" s="40"/>
      <c r="E223" s="40"/>
    </row>
    <row r="224" spans="1:5" s="32" customFormat="1" x14ac:dyDescent="0.7">
      <c r="A224" s="38"/>
      <c r="C224" s="39"/>
      <c r="D224" s="40"/>
      <c r="E224" s="40"/>
    </row>
    <row r="225" spans="1:5" s="32" customFormat="1" x14ac:dyDescent="0.7">
      <c r="A225" s="38"/>
      <c r="C225" s="39"/>
      <c r="D225" s="40"/>
      <c r="E225" s="40"/>
    </row>
    <row r="226" spans="1:5" s="32" customFormat="1" x14ac:dyDescent="0.7">
      <c r="A226" s="38"/>
      <c r="C226" s="39"/>
      <c r="D226" s="40"/>
      <c r="E226" s="40"/>
    </row>
    <row r="227" spans="1:5" s="32" customFormat="1" x14ac:dyDescent="0.7">
      <c r="A227" s="38"/>
      <c r="C227" s="39"/>
      <c r="D227" s="40"/>
      <c r="E227" s="40"/>
    </row>
    <row r="228" spans="1:5" s="32" customFormat="1" x14ac:dyDescent="0.7">
      <c r="A228" s="38"/>
      <c r="C228" s="39"/>
      <c r="D228" s="40"/>
      <c r="E228" s="40"/>
    </row>
    <row r="229" spans="1:5" s="32" customFormat="1" x14ac:dyDescent="0.7">
      <c r="A229" s="38"/>
      <c r="C229" s="39"/>
      <c r="D229" s="40"/>
      <c r="E229" s="40"/>
    </row>
    <row r="230" spans="1:5" s="32" customFormat="1" x14ac:dyDescent="0.7">
      <c r="A230" s="38"/>
      <c r="C230" s="39"/>
      <c r="D230" s="40"/>
      <c r="E230" s="40"/>
    </row>
    <row r="231" spans="1:5" s="32" customFormat="1" x14ac:dyDescent="0.7">
      <c r="A231" s="38"/>
      <c r="C231" s="39"/>
      <c r="D231" s="40"/>
      <c r="E231" s="40"/>
    </row>
    <row r="232" spans="1:5" s="32" customFormat="1" x14ac:dyDescent="0.7">
      <c r="A232" s="38"/>
      <c r="C232" s="39"/>
      <c r="D232" s="40"/>
      <c r="E232" s="40"/>
    </row>
    <row r="233" spans="1:5" s="32" customFormat="1" x14ac:dyDescent="0.7">
      <c r="A233" s="38"/>
      <c r="C233" s="39"/>
      <c r="D233" s="40"/>
      <c r="E233" s="40"/>
    </row>
    <row r="234" spans="1:5" s="32" customFormat="1" x14ac:dyDescent="0.7">
      <c r="A234" s="38"/>
      <c r="C234" s="39"/>
      <c r="D234" s="40"/>
      <c r="E234" s="40"/>
    </row>
    <row r="235" spans="1:5" s="32" customFormat="1" x14ac:dyDescent="0.7">
      <c r="A235" s="38"/>
      <c r="C235" s="39"/>
      <c r="D235" s="40"/>
      <c r="E235" s="40"/>
    </row>
    <row r="236" spans="1:5" s="32" customFormat="1" x14ac:dyDescent="0.7">
      <c r="A236" s="38"/>
      <c r="C236" s="39"/>
      <c r="D236" s="40"/>
      <c r="E236" s="40"/>
    </row>
  </sheetData>
  <sheetProtection formatCells="0" formatColumns="0" formatRows="0" insertColumns="0" insertRows="0" insertHyperlinks="0" deleteColumns="0" deleteRows="0" sort="0" autoFilter="0" pivotTables="0"/>
  <mergeCells count="8">
    <mergeCell ref="A2:A4"/>
    <mergeCell ref="A5:A7"/>
    <mergeCell ref="A8:A10"/>
    <mergeCell ref="A11:A14"/>
    <mergeCell ref="B2:E2"/>
    <mergeCell ref="B5:E5"/>
    <mergeCell ref="B8:E8"/>
    <mergeCell ref="B11:E11"/>
  </mergeCells>
  <pageMargins left="0.7" right="0.7" top="0.75" bottom="0.75" header="0.3" footer="0.3"/>
  <pageSetup paperSize="8" scale="32" fitToHeight="0" orientation="landscape" r:id="rId1"/>
  <rowBreaks count="1" manualBreakCount="1">
    <brk id="15" max="16383" man="1"/>
  </rowBreaks>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18D02-AC4A-4E7C-BDD2-CFEFF685AFE2}">
  <sheetPr>
    <tabColor theme="6"/>
  </sheetPr>
  <dimension ref="B1:JN245"/>
  <sheetViews>
    <sheetView showGridLines="0" zoomScale="70" zoomScaleNormal="70" workbookViewId="0">
      <selection activeCell="E60" sqref="E60"/>
    </sheetView>
  </sheetViews>
  <sheetFormatPr defaultColWidth="9.1328125" defaultRowHeight="23.25" x14ac:dyDescent="0.7"/>
  <cols>
    <col min="1" max="1" width="3.53125" customWidth="1"/>
    <col min="2" max="2" width="31.86328125" style="3" customWidth="1"/>
    <col min="3" max="3" width="8.6640625" customWidth="1"/>
    <col min="4" max="4" width="36.33203125" style="4" customWidth="1"/>
    <col min="5" max="5" width="59.53125" style="4" customWidth="1"/>
    <col min="6" max="6" width="17.53125" style="52" customWidth="1"/>
    <col min="7" max="7" width="17.53125" style="52" hidden="1" customWidth="1"/>
    <col min="8" max="10" width="17.53125" style="52" customWidth="1"/>
    <col min="11" max="11" width="17.53125" style="52" hidden="1" customWidth="1"/>
    <col min="12" max="12" width="17.53125" style="52" customWidth="1"/>
    <col min="13" max="13" width="62.1328125" style="4" customWidth="1"/>
    <col min="14" max="274" width="9.1328125" style="4"/>
  </cols>
  <sheetData>
    <row r="1" spans="2:274" ht="23.65" thickBot="1" x14ac:dyDescent="0.75"/>
    <row r="2" spans="2:274" x14ac:dyDescent="0.45">
      <c r="B2" s="137" t="s">
        <v>178</v>
      </c>
      <c r="C2" s="138"/>
      <c r="D2" s="138"/>
      <c r="E2" s="138"/>
      <c r="F2" s="138"/>
      <c r="G2" s="138"/>
      <c r="H2" s="138"/>
      <c r="I2" s="138"/>
      <c r="J2" s="138"/>
      <c r="K2" s="138"/>
      <c r="L2" s="138"/>
      <c r="M2" s="139"/>
    </row>
    <row r="3" spans="2:274" ht="18.399999999999999" thickBot="1" x14ac:dyDescent="0.5">
      <c r="B3" s="140" t="s">
        <v>302</v>
      </c>
      <c r="C3" s="141"/>
      <c r="D3" s="141"/>
      <c r="E3" s="141"/>
      <c r="F3" s="141"/>
      <c r="G3" s="141"/>
      <c r="H3" s="141"/>
      <c r="I3" s="141"/>
      <c r="J3" s="141"/>
      <c r="K3" s="141"/>
      <c r="L3" s="141"/>
      <c r="M3" s="142"/>
    </row>
    <row r="4" spans="2:274" ht="16.5" customHeight="1" x14ac:dyDescent="0.7"/>
    <row r="5" spans="2:274" s="1" customFormat="1" ht="25.5" customHeight="1" x14ac:dyDescent="0.7">
      <c r="B5" s="282" t="s">
        <v>297</v>
      </c>
      <c r="C5" s="282"/>
      <c r="D5" s="275"/>
      <c r="E5" s="275"/>
      <c r="F5" s="275"/>
      <c r="G5" s="275"/>
      <c r="H5" s="275"/>
      <c r="I5" s="275"/>
      <c r="J5" s="275"/>
      <c r="K5" s="275"/>
      <c r="L5" s="275"/>
      <c r="M5" s="275"/>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row>
    <row r="6" spans="2:274" s="1" customFormat="1" ht="25.5" customHeight="1" x14ac:dyDescent="0.7">
      <c r="B6" s="282" t="s">
        <v>298</v>
      </c>
      <c r="C6" s="282"/>
      <c r="D6" s="275"/>
      <c r="E6" s="275"/>
      <c r="F6" s="275"/>
      <c r="G6" s="276"/>
      <c r="H6" s="282" t="s">
        <v>299</v>
      </c>
      <c r="I6" s="282"/>
      <c r="J6" s="275"/>
      <c r="K6" s="275"/>
      <c r="L6" s="275"/>
      <c r="M6" s="275"/>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6"/>
      <c r="JI6" s="6"/>
      <c r="JJ6" s="6"/>
      <c r="JK6" s="6"/>
      <c r="JL6" s="6"/>
      <c r="JM6" s="6"/>
      <c r="JN6" s="6"/>
    </row>
    <row r="7" spans="2:274" s="1" customFormat="1" ht="25.5" customHeight="1" x14ac:dyDescent="0.7">
      <c r="B7" s="282" t="s">
        <v>300</v>
      </c>
      <c r="C7" s="282"/>
      <c r="D7" s="275"/>
      <c r="E7" s="275"/>
      <c r="F7" s="275"/>
      <c r="G7" s="276"/>
      <c r="H7" s="282" t="s">
        <v>301</v>
      </c>
      <c r="I7" s="282"/>
      <c r="J7" s="275"/>
      <c r="K7" s="275"/>
      <c r="L7" s="275"/>
      <c r="M7" s="275"/>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row>
    <row r="8" spans="2:274" s="277" customFormat="1" ht="14.25" customHeight="1" thickBot="1" x14ac:dyDescent="0.5">
      <c r="B8" s="274"/>
      <c r="C8" s="274"/>
      <c r="D8" s="273"/>
      <c r="E8" s="273"/>
      <c r="F8" s="273"/>
      <c r="G8" s="273"/>
      <c r="H8" s="274"/>
      <c r="I8" s="274"/>
      <c r="J8" s="273"/>
      <c r="K8" s="273"/>
      <c r="L8" s="273"/>
      <c r="M8" s="273"/>
    </row>
    <row r="9" spans="2:274" ht="5.0999999999999996" customHeight="1" thickBot="1" x14ac:dyDescent="0.5">
      <c r="B9" s="278"/>
      <c r="C9" s="279"/>
      <c r="D9" s="279"/>
      <c r="E9" s="279"/>
      <c r="F9" s="280"/>
      <c r="G9" s="280"/>
      <c r="H9" s="280"/>
      <c r="I9" s="280"/>
      <c r="J9" s="280"/>
      <c r="K9" s="280"/>
      <c r="L9" s="280"/>
      <c r="M9" s="281"/>
    </row>
    <row r="10" spans="2:274" ht="45.6" customHeight="1" x14ac:dyDescent="0.45">
      <c r="B10" s="270" t="s">
        <v>0</v>
      </c>
      <c r="C10" s="267" t="s">
        <v>1</v>
      </c>
      <c r="D10" s="268"/>
      <c r="E10" s="269"/>
      <c r="F10" s="227" t="s">
        <v>263</v>
      </c>
      <c r="G10" s="227"/>
      <c r="H10" s="267" t="s">
        <v>227</v>
      </c>
      <c r="I10" s="268"/>
      <c r="J10" s="269"/>
      <c r="K10" s="228"/>
      <c r="L10" s="231" t="s">
        <v>14</v>
      </c>
      <c r="M10" s="233"/>
    </row>
    <row r="11" spans="2:274" s="1" customFormat="1" ht="36" customHeight="1" thickBot="1" x14ac:dyDescent="0.75">
      <c r="B11" s="271"/>
      <c r="C11" s="265" t="s">
        <v>294</v>
      </c>
      <c r="D11" s="272" t="s">
        <v>295</v>
      </c>
      <c r="E11" s="272" t="s">
        <v>296</v>
      </c>
      <c r="F11" s="265" t="s">
        <v>264</v>
      </c>
      <c r="G11" s="266" t="s">
        <v>290</v>
      </c>
      <c r="H11" s="265" t="s">
        <v>216</v>
      </c>
      <c r="I11" s="265" t="s">
        <v>203</v>
      </c>
      <c r="J11" s="265" t="s">
        <v>217</v>
      </c>
      <c r="K11" s="230" t="s">
        <v>290</v>
      </c>
      <c r="L11" s="232" t="s">
        <v>265</v>
      </c>
      <c r="M11" s="234" t="s">
        <v>15</v>
      </c>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row>
    <row r="12" spans="2:274" s="4" customFormat="1" ht="14.25" x14ac:dyDescent="0.45">
      <c r="B12" s="169" t="s">
        <v>19</v>
      </c>
      <c r="C12" s="173">
        <v>1.1000000000000001</v>
      </c>
      <c r="D12" s="179" t="s">
        <v>215</v>
      </c>
      <c r="E12" s="45" t="s">
        <v>221</v>
      </c>
      <c r="F12" s="168" t="s">
        <v>172</v>
      </c>
      <c r="G12" s="197" t="str">
        <f>IF(F12="Reactive","R",IF(F12="Proactive","P",IF(F12="Resilient","RE","")))</f>
        <v>R</v>
      </c>
      <c r="H12" s="223" t="s">
        <v>266</v>
      </c>
      <c r="I12" s="224" t="s">
        <v>267</v>
      </c>
      <c r="J12" s="225" t="s">
        <v>268</v>
      </c>
      <c r="K12" s="197" t="str">
        <f>G12&amp;H12&amp;I12&amp;J12</f>
        <v>RCQS</v>
      </c>
      <c r="L12" s="226">
        <f>VLOOKUP(K12,Lists!B:C,2,FALSE)</f>
        <v>3</v>
      </c>
      <c r="M12" s="28"/>
    </row>
    <row r="13" spans="2:274" s="4" customFormat="1" ht="14.25" x14ac:dyDescent="0.45">
      <c r="B13" s="169"/>
      <c r="C13" s="173"/>
      <c r="D13" s="179"/>
      <c r="E13" s="45" t="s">
        <v>218</v>
      </c>
      <c r="F13" s="166" t="s">
        <v>174</v>
      </c>
      <c r="G13" s="206" t="str">
        <f>IF(F13="Reactive","R",IF(F13="Proactive","P",IF(F13="Resilient","RE","")))</f>
        <v>RE</v>
      </c>
      <c r="H13" s="211" t="s">
        <v>266</v>
      </c>
      <c r="I13" s="202" t="s">
        <v>13</v>
      </c>
      <c r="J13" s="212" t="s">
        <v>13</v>
      </c>
      <c r="K13" s="206" t="str">
        <f>G13&amp;H13&amp;I13&amp;J13</f>
        <v>RECXX</v>
      </c>
      <c r="L13" s="219">
        <f>IFERROR(VLOOKUP(K13,Lists!B:C,2,FALSE),"")</f>
        <v>7</v>
      </c>
      <c r="M13" s="28"/>
    </row>
    <row r="14" spans="2:274" s="4" customFormat="1" ht="14.25" x14ac:dyDescent="0.45">
      <c r="B14" s="169"/>
      <c r="C14" s="173"/>
      <c r="D14" s="179"/>
      <c r="E14" s="46" t="s">
        <v>219</v>
      </c>
      <c r="F14" s="166"/>
      <c r="G14" s="206" t="str">
        <f>IF(F14="Reactive","R",IF(F14="Proactive","P",IF(F14="Resilient","RE","")))</f>
        <v/>
      </c>
      <c r="H14" s="211"/>
      <c r="I14" s="202"/>
      <c r="J14" s="212"/>
      <c r="K14" s="206" t="str">
        <f t="shared" ref="K14:K47" si="0">G14&amp;H14&amp;I14&amp;J14</f>
        <v/>
      </c>
      <c r="L14" s="219" t="str">
        <f>IFERROR(VLOOKUP(K14,Lists!B:C,2,FALSE),"")</f>
        <v/>
      </c>
      <c r="M14" s="19"/>
    </row>
    <row r="15" spans="2:274" s="4" customFormat="1" ht="14.65" thickBot="1" x14ac:dyDescent="0.5">
      <c r="B15" s="169"/>
      <c r="C15" s="174"/>
      <c r="D15" s="180"/>
      <c r="E15" s="48" t="s">
        <v>220</v>
      </c>
      <c r="F15" s="167"/>
      <c r="G15" s="207" t="str">
        <f>IF(F15="Reactive","R",IF(F15="Proactive","P",IF(F15="Resilient","RE","")))</f>
        <v/>
      </c>
      <c r="H15" s="213"/>
      <c r="I15" s="203"/>
      <c r="J15" s="214"/>
      <c r="K15" s="207" t="str">
        <f t="shared" si="0"/>
        <v/>
      </c>
      <c r="L15" s="220" t="str">
        <f>IFERROR(VLOOKUP(K15,Lists!B:C,2,FALSE),"")</f>
        <v/>
      </c>
      <c r="M15" s="19"/>
    </row>
    <row r="16" spans="2:274" s="4" customFormat="1" ht="14.25" x14ac:dyDescent="0.45">
      <c r="B16" s="169"/>
      <c r="C16" s="172">
        <v>1.2</v>
      </c>
      <c r="D16" s="178" t="s">
        <v>222</v>
      </c>
      <c r="E16" s="44" t="s">
        <v>225</v>
      </c>
      <c r="F16" s="165"/>
      <c r="G16" s="208" t="str">
        <f>IF(F16="Reactive","R",IF(F16="Proactive","P",IF(F16="Resilient","RE","")))</f>
        <v/>
      </c>
      <c r="H16" s="215"/>
      <c r="I16" s="204"/>
      <c r="J16" s="216"/>
      <c r="K16" s="208" t="str">
        <f t="shared" si="0"/>
        <v/>
      </c>
      <c r="L16" s="221" t="str">
        <f>IFERROR(VLOOKUP(K16,Lists!B:C,2,FALSE),"")</f>
        <v/>
      </c>
      <c r="M16" s="28"/>
    </row>
    <row r="17" spans="2:18" s="4" customFormat="1" ht="14.25" x14ac:dyDescent="0.45">
      <c r="B17" s="169"/>
      <c r="C17" s="173"/>
      <c r="D17" s="179"/>
      <c r="E17" s="45" t="s">
        <v>223</v>
      </c>
      <c r="F17" s="166"/>
      <c r="G17" s="206" t="str">
        <f>IF(F17="Reactive","R",IF(F17="Proactive","P",IF(F17="Resilient","RE","")))</f>
        <v/>
      </c>
      <c r="H17" s="211"/>
      <c r="I17" s="202"/>
      <c r="J17" s="212"/>
      <c r="K17" s="206" t="str">
        <f t="shared" si="0"/>
        <v/>
      </c>
      <c r="L17" s="219" t="str">
        <f>IFERROR(VLOOKUP(K17,Lists!B:C,2,FALSE),"")</f>
        <v/>
      </c>
      <c r="M17" s="28"/>
    </row>
    <row r="18" spans="2:18" s="4" customFormat="1" ht="14.25" x14ac:dyDescent="0.45">
      <c r="B18" s="169"/>
      <c r="C18" s="173"/>
      <c r="D18" s="179"/>
      <c r="E18" s="45" t="s">
        <v>224</v>
      </c>
      <c r="F18" s="166"/>
      <c r="G18" s="206" t="str">
        <f>IF(F18="Reactive","R",IF(F18="Proactive","P",IF(F18="Resilient","RE","")))</f>
        <v/>
      </c>
      <c r="H18" s="211"/>
      <c r="I18" s="202"/>
      <c r="J18" s="212"/>
      <c r="K18" s="206" t="str">
        <f t="shared" si="0"/>
        <v/>
      </c>
      <c r="L18" s="219" t="str">
        <f>IFERROR(VLOOKUP(K18,Lists!B:C,2,FALSE),"")</f>
        <v/>
      </c>
      <c r="M18" s="28"/>
    </row>
    <row r="19" spans="2:18" s="4" customFormat="1" ht="14.65" thickBot="1" x14ac:dyDescent="0.5">
      <c r="B19" s="170"/>
      <c r="C19" s="173"/>
      <c r="D19" s="179"/>
      <c r="E19" s="47" t="s">
        <v>226</v>
      </c>
      <c r="F19" s="210"/>
      <c r="G19" s="209" t="str">
        <f>IF(F19="Reactive","R",IF(F19="Proactive","P",IF(F19="Resilient","RE","")))</f>
        <v/>
      </c>
      <c r="H19" s="217"/>
      <c r="I19" s="205"/>
      <c r="J19" s="218"/>
      <c r="K19" s="209" t="str">
        <f t="shared" si="0"/>
        <v/>
      </c>
      <c r="L19" s="222" t="str">
        <f>IFERROR(VLOOKUP(K19,Lists!B:C,2,FALSE),"")</f>
        <v/>
      </c>
      <c r="M19" s="28"/>
    </row>
    <row r="20" spans="2:18" s="4" customFormat="1" ht="14.25" x14ac:dyDescent="0.45">
      <c r="B20" s="175" t="s">
        <v>20</v>
      </c>
      <c r="C20" s="172">
        <v>2.1</v>
      </c>
      <c r="D20" s="178" t="s">
        <v>228</v>
      </c>
      <c r="E20" s="44" t="s">
        <v>229</v>
      </c>
      <c r="F20" s="165"/>
      <c r="G20" s="208" t="str">
        <f>IF(F20="Reactive","R",IF(F20="Proactive","P",IF(F20="Resilient","RE","")))</f>
        <v/>
      </c>
      <c r="H20" s="215"/>
      <c r="I20" s="204"/>
      <c r="J20" s="216"/>
      <c r="K20" s="208" t="str">
        <f t="shared" si="0"/>
        <v/>
      </c>
      <c r="L20" s="221" t="str">
        <f>IFERROR(VLOOKUP(K20,Lists!B:C,2,FALSE),"")</f>
        <v/>
      </c>
      <c r="M20" s="18"/>
      <c r="R20" s="52"/>
    </row>
    <row r="21" spans="2:18" s="4" customFormat="1" ht="14.25" x14ac:dyDescent="0.45">
      <c r="B21" s="176"/>
      <c r="C21" s="173"/>
      <c r="D21" s="179"/>
      <c r="E21" s="46" t="s">
        <v>230</v>
      </c>
      <c r="F21" s="166"/>
      <c r="G21" s="206" t="str">
        <f>IF(F21="Reactive","R",IF(F21="Proactive","P",IF(F21="Resilient","RE","")))</f>
        <v/>
      </c>
      <c r="H21" s="211"/>
      <c r="I21" s="202"/>
      <c r="J21" s="212"/>
      <c r="K21" s="206" t="str">
        <f t="shared" si="0"/>
        <v/>
      </c>
      <c r="L21" s="219" t="str">
        <f>IFERROR(VLOOKUP(K21,Lists!B:C,2,FALSE),"")</f>
        <v/>
      </c>
      <c r="M21" s="28"/>
    </row>
    <row r="22" spans="2:18" s="4" customFormat="1" ht="14.25" x14ac:dyDescent="0.45">
      <c r="B22" s="176"/>
      <c r="C22" s="173"/>
      <c r="D22" s="179"/>
      <c r="E22" s="46" t="s">
        <v>231</v>
      </c>
      <c r="F22" s="166"/>
      <c r="G22" s="206" t="str">
        <f>IF(F22="Reactive","R",IF(F22="Proactive","P",IF(F22="Resilient","RE","")))</f>
        <v/>
      </c>
      <c r="H22" s="211"/>
      <c r="I22" s="202"/>
      <c r="J22" s="212"/>
      <c r="K22" s="206" t="str">
        <f t="shared" si="0"/>
        <v/>
      </c>
      <c r="L22" s="219" t="str">
        <f>IFERROR(VLOOKUP(K22,Lists!B:C,2,FALSE),"")</f>
        <v/>
      </c>
      <c r="M22" s="19"/>
    </row>
    <row r="23" spans="2:18" s="4" customFormat="1" ht="14.65" thickBot="1" x14ac:dyDescent="0.5">
      <c r="B23" s="176"/>
      <c r="C23" s="174"/>
      <c r="D23" s="180"/>
      <c r="E23" s="48" t="s">
        <v>232</v>
      </c>
      <c r="F23" s="167"/>
      <c r="G23" s="207" t="str">
        <f>IF(F23="Reactive","R",IF(F23="Proactive","P",IF(F23="Resilient","RE","")))</f>
        <v/>
      </c>
      <c r="H23" s="213"/>
      <c r="I23" s="203"/>
      <c r="J23" s="214"/>
      <c r="K23" s="207" t="str">
        <f t="shared" si="0"/>
        <v/>
      </c>
      <c r="L23" s="220" t="str">
        <f>IFERROR(VLOOKUP(K23,Lists!B:C,2,FALSE),"")</f>
        <v/>
      </c>
      <c r="M23" s="28"/>
    </row>
    <row r="24" spans="2:18" s="4" customFormat="1" ht="14.25" x14ac:dyDescent="0.45">
      <c r="B24" s="176"/>
      <c r="C24" s="172">
        <v>2.2000000000000002</v>
      </c>
      <c r="D24" s="178" t="s">
        <v>228</v>
      </c>
      <c r="E24" s="44" t="s">
        <v>233</v>
      </c>
      <c r="F24" s="165"/>
      <c r="G24" s="208" t="str">
        <f>IF(F24="Reactive","R",IF(F24="Proactive","P",IF(F24="Resilient","RE","")))</f>
        <v/>
      </c>
      <c r="H24" s="215"/>
      <c r="I24" s="204"/>
      <c r="J24" s="216"/>
      <c r="K24" s="208" t="str">
        <f t="shared" si="0"/>
        <v/>
      </c>
      <c r="L24" s="221" t="str">
        <f>IFERROR(VLOOKUP(K24,Lists!B:C,2,FALSE),"")</f>
        <v/>
      </c>
      <c r="M24" s="28"/>
    </row>
    <row r="25" spans="2:18" s="4" customFormat="1" ht="14.25" x14ac:dyDescent="0.45">
      <c r="B25" s="176"/>
      <c r="C25" s="173"/>
      <c r="D25" s="179"/>
      <c r="E25" s="46" t="s">
        <v>234</v>
      </c>
      <c r="F25" s="166"/>
      <c r="G25" s="206" t="str">
        <f>IF(F25="Reactive","R",IF(F25="Proactive","P",IF(F25="Resilient","RE","")))</f>
        <v/>
      </c>
      <c r="H25" s="211"/>
      <c r="I25" s="202"/>
      <c r="J25" s="212"/>
      <c r="K25" s="206" t="str">
        <f t="shared" si="0"/>
        <v/>
      </c>
      <c r="L25" s="219" t="str">
        <f>IFERROR(VLOOKUP(K25,Lists!B:C,2,FALSE),"")</f>
        <v/>
      </c>
      <c r="M25" s="28"/>
    </row>
    <row r="26" spans="2:18" s="4" customFormat="1" ht="14.25" x14ac:dyDescent="0.45">
      <c r="B26" s="176"/>
      <c r="C26" s="173"/>
      <c r="D26" s="179"/>
      <c r="E26" s="46" t="s">
        <v>235</v>
      </c>
      <c r="F26" s="166"/>
      <c r="G26" s="206" t="str">
        <f>IF(F26="Reactive","R",IF(F26="Proactive","P",IF(F26="Resilient","RE","")))</f>
        <v/>
      </c>
      <c r="H26" s="211"/>
      <c r="I26" s="202"/>
      <c r="J26" s="212"/>
      <c r="K26" s="206" t="str">
        <f t="shared" si="0"/>
        <v/>
      </c>
      <c r="L26" s="219" t="str">
        <f>IFERROR(VLOOKUP(K26,Lists!B:C,2,FALSE),"")</f>
        <v/>
      </c>
      <c r="M26" s="28"/>
    </row>
    <row r="27" spans="2:18" s="4" customFormat="1" ht="14.65" thickBot="1" x14ac:dyDescent="0.5">
      <c r="B27" s="177"/>
      <c r="C27" s="174"/>
      <c r="D27" s="180"/>
      <c r="E27" s="48" t="s">
        <v>236</v>
      </c>
      <c r="F27" s="167"/>
      <c r="G27" s="207" t="str">
        <f>IF(F27="Reactive","R",IF(F27="Proactive","P",IF(F27="Resilient","RE","")))</f>
        <v/>
      </c>
      <c r="H27" s="213"/>
      <c r="I27" s="203"/>
      <c r="J27" s="214"/>
      <c r="K27" s="207" t="str">
        <f t="shared" si="0"/>
        <v/>
      </c>
      <c r="L27" s="220" t="str">
        <f>IFERROR(VLOOKUP(K27,Lists!B:C,2,FALSE),"")</f>
        <v/>
      </c>
      <c r="M27" s="181"/>
    </row>
    <row r="28" spans="2:18" s="4" customFormat="1" ht="14.25" x14ac:dyDescent="0.45">
      <c r="B28" s="187" t="s">
        <v>21</v>
      </c>
      <c r="C28" s="171">
        <v>3.1</v>
      </c>
      <c r="D28" s="193" t="s">
        <v>237</v>
      </c>
      <c r="E28" s="44" t="s">
        <v>239</v>
      </c>
      <c r="F28" s="165"/>
      <c r="G28" s="208" t="str">
        <f>IF(F28="Reactive","R",IF(F28="Proactive","P",IF(F28="Resilient","RE","")))</f>
        <v/>
      </c>
      <c r="H28" s="215"/>
      <c r="I28" s="204"/>
      <c r="J28" s="216"/>
      <c r="K28" s="208" t="str">
        <f t="shared" si="0"/>
        <v/>
      </c>
      <c r="L28" s="221" t="str">
        <f>IFERROR(VLOOKUP(K28,Lists!B:C,2,FALSE),"")</f>
        <v/>
      </c>
      <c r="M28" s="18"/>
    </row>
    <row r="29" spans="2:18" s="4" customFormat="1" ht="14.25" x14ac:dyDescent="0.45">
      <c r="B29" s="188"/>
      <c r="C29" s="191"/>
      <c r="D29" s="194"/>
      <c r="E29" s="46" t="s">
        <v>240</v>
      </c>
      <c r="F29" s="166"/>
      <c r="G29" s="206" t="str">
        <f>IF(F29="Reactive","R",IF(F29="Proactive","P",IF(F29="Resilient","RE","")))</f>
        <v/>
      </c>
      <c r="H29" s="211"/>
      <c r="I29" s="202"/>
      <c r="J29" s="212"/>
      <c r="K29" s="206" t="str">
        <f t="shared" si="0"/>
        <v/>
      </c>
      <c r="L29" s="219" t="str">
        <f>IFERROR(VLOOKUP(K29,Lists!B:C,2,FALSE),"")</f>
        <v/>
      </c>
      <c r="M29" s="19"/>
    </row>
    <row r="30" spans="2:18" s="4" customFormat="1" ht="14.25" x14ac:dyDescent="0.45">
      <c r="B30" s="188"/>
      <c r="C30" s="191"/>
      <c r="D30" s="194"/>
      <c r="E30" s="46" t="s">
        <v>241</v>
      </c>
      <c r="F30" s="166"/>
      <c r="G30" s="206" t="str">
        <f>IF(F30="Reactive","R",IF(F30="Proactive","P",IF(F30="Resilient","RE","")))</f>
        <v/>
      </c>
      <c r="H30" s="211"/>
      <c r="I30" s="202"/>
      <c r="J30" s="212"/>
      <c r="K30" s="206" t="str">
        <f t="shared" si="0"/>
        <v/>
      </c>
      <c r="L30" s="219" t="str">
        <f>IFERROR(VLOOKUP(K30,Lists!B:C,2,FALSE),"")</f>
        <v/>
      </c>
      <c r="M30" s="19"/>
    </row>
    <row r="31" spans="2:18" s="4" customFormat="1" ht="14.65" thickBot="1" x14ac:dyDescent="0.5">
      <c r="B31" s="188"/>
      <c r="C31" s="192"/>
      <c r="D31" s="195"/>
      <c r="E31" s="48" t="s">
        <v>242</v>
      </c>
      <c r="F31" s="167"/>
      <c r="G31" s="207" t="str">
        <f>IF(F31="Reactive","R",IF(F31="Proactive","P",IF(F31="Resilient","RE","")))</f>
        <v/>
      </c>
      <c r="H31" s="213"/>
      <c r="I31" s="203"/>
      <c r="J31" s="214"/>
      <c r="K31" s="207" t="str">
        <f t="shared" si="0"/>
        <v/>
      </c>
      <c r="L31" s="220" t="str">
        <f>IFERROR(VLOOKUP(K31,Lists!B:C,2,FALSE),"")</f>
        <v/>
      </c>
      <c r="M31" s="186"/>
    </row>
    <row r="32" spans="2:18" s="4" customFormat="1" ht="14.25" x14ac:dyDescent="0.45">
      <c r="B32" s="188"/>
      <c r="C32" s="171">
        <v>3.2</v>
      </c>
      <c r="D32" s="193" t="s">
        <v>238</v>
      </c>
      <c r="E32" s="44" t="s">
        <v>243</v>
      </c>
      <c r="F32" s="165"/>
      <c r="G32" s="208" t="str">
        <f>IF(F32="Reactive","R",IF(F32="Proactive","P",IF(F32="Resilient","RE","")))</f>
        <v/>
      </c>
      <c r="H32" s="215"/>
      <c r="I32" s="204"/>
      <c r="J32" s="216"/>
      <c r="K32" s="208" t="str">
        <f t="shared" si="0"/>
        <v/>
      </c>
      <c r="L32" s="221" t="str">
        <f>IFERROR(VLOOKUP(K32,Lists!B:C,2,FALSE),"")</f>
        <v/>
      </c>
      <c r="M32" s="18"/>
    </row>
    <row r="33" spans="2:13" s="4" customFormat="1" ht="14.25" x14ac:dyDescent="0.45">
      <c r="B33" s="188"/>
      <c r="C33" s="191"/>
      <c r="D33" s="194"/>
      <c r="E33" s="46" t="s">
        <v>244</v>
      </c>
      <c r="F33" s="166"/>
      <c r="G33" s="206" t="str">
        <f>IF(F33="Reactive","R",IF(F33="Proactive","P",IF(F33="Resilient","RE","")))</f>
        <v/>
      </c>
      <c r="H33" s="211"/>
      <c r="I33" s="202"/>
      <c r="J33" s="212"/>
      <c r="K33" s="206" t="str">
        <f t="shared" si="0"/>
        <v/>
      </c>
      <c r="L33" s="219" t="str">
        <f>IFERROR(VLOOKUP(K33,Lists!B:C,2,FALSE),"")</f>
        <v/>
      </c>
      <c r="M33" s="19"/>
    </row>
    <row r="34" spans="2:13" s="4" customFormat="1" ht="14.25" x14ac:dyDescent="0.45">
      <c r="B34" s="188"/>
      <c r="C34" s="191"/>
      <c r="D34" s="194"/>
      <c r="E34" s="46" t="s">
        <v>245</v>
      </c>
      <c r="F34" s="166"/>
      <c r="G34" s="206" t="str">
        <f>IF(F34="Reactive","R",IF(F34="Proactive","P",IF(F34="Resilient","RE","")))</f>
        <v/>
      </c>
      <c r="H34" s="211"/>
      <c r="I34" s="202"/>
      <c r="J34" s="212"/>
      <c r="K34" s="206" t="str">
        <f t="shared" si="0"/>
        <v/>
      </c>
      <c r="L34" s="219" t="str">
        <f>IFERROR(VLOOKUP(K34,Lists!B:C,2,FALSE),"")</f>
        <v/>
      </c>
      <c r="M34" s="19"/>
    </row>
    <row r="35" spans="2:13" s="4" customFormat="1" ht="14.65" thickBot="1" x14ac:dyDescent="0.5">
      <c r="B35" s="190"/>
      <c r="C35" s="192"/>
      <c r="D35" s="195"/>
      <c r="E35" s="48" t="s">
        <v>246</v>
      </c>
      <c r="F35" s="167"/>
      <c r="G35" s="207" t="str">
        <f>IF(F35="Reactive","R",IF(F35="Proactive","P",IF(F35="Resilient","RE","")))</f>
        <v/>
      </c>
      <c r="H35" s="213"/>
      <c r="I35" s="203"/>
      <c r="J35" s="214"/>
      <c r="K35" s="207" t="str">
        <f t="shared" si="0"/>
        <v/>
      </c>
      <c r="L35" s="220" t="str">
        <f>IFERROR(VLOOKUP(K35,Lists!B:C,2,FALSE),"")</f>
        <v/>
      </c>
      <c r="M35" s="20"/>
    </row>
    <row r="36" spans="2:13" s="4" customFormat="1" ht="14.25" x14ac:dyDescent="0.45">
      <c r="B36" s="164" t="s">
        <v>22</v>
      </c>
      <c r="C36" s="172">
        <v>4.0999999999999996</v>
      </c>
      <c r="D36" s="183" t="s">
        <v>247</v>
      </c>
      <c r="E36" s="44" t="s">
        <v>248</v>
      </c>
      <c r="F36" s="165"/>
      <c r="G36" s="208" t="str">
        <f>IF(F36="Reactive","R",IF(F36="Proactive","P",IF(F36="Resilient","RE","")))</f>
        <v/>
      </c>
      <c r="H36" s="215"/>
      <c r="I36" s="204"/>
      <c r="J36" s="216"/>
      <c r="K36" s="208" t="str">
        <f t="shared" si="0"/>
        <v/>
      </c>
      <c r="L36" s="221" t="str">
        <f>IFERROR(VLOOKUP(K36,Lists!B:C,2,FALSE),"")</f>
        <v/>
      </c>
      <c r="M36" s="28"/>
    </row>
    <row r="37" spans="2:13" s="4" customFormat="1" ht="14.25" x14ac:dyDescent="0.45">
      <c r="B37" s="164"/>
      <c r="C37" s="173"/>
      <c r="D37" s="182"/>
      <c r="E37" s="46" t="s">
        <v>249</v>
      </c>
      <c r="F37" s="166"/>
      <c r="G37" s="206" t="str">
        <f>IF(F37="Reactive","R",IF(F37="Proactive","P",IF(F37="Resilient","RE","")))</f>
        <v/>
      </c>
      <c r="H37" s="211"/>
      <c r="I37" s="202"/>
      <c r="J37" s="212"/>
      <c r="K37" s="206" t="str">
        <f t="shared" si="0"/>
        <v/>
      </c>
      <c r="L37" s="219" t="str">
        <f>IFERROR(VLOOKUP(K37,Lists!B:C,2,FALSE),"")</f>
        <v/>
      </c>
      <c r="M37" s="28"/>
    </row>
    <row r="38" spans="2:13" s="4" customFormat="1" ht="14.25" x14ac:dyDescent="0.45">
      <c r="B38" s="164"/>
      <c r="C38" s="173"/>
      <c r="D38" s="182"/>
      <c r="E38" s="46" t="s">
        <v>250</v>
      </c>
      <c r="F38" s="166"/>
      <c r="G38" s="206" t="str">
        <f>IF(F38="Reactive","R",IF(F38="Proactive","P",IF(F38="Resilient","RE","")))</f>
        <v/>
      </c>
      <c r="H38" s="211"/>
      <c r="I38" s="202"/>
      <c r="J38" s="212"/>
      <c r="K38" s="206" t="str">
        <f t="shared" si="0"/>
        <v/>
      </c>
      <c r="L38" s="219" t="str">
        <f>IFERROR(VLOOKUP(K38,Lists!B:C,2,FALSE),"")</f>
        <v/>
      </c>
      <c r="M38" s="28"/>
    </row>
    <row r="39" spans="2:13" s="4" customFormat="1" ht="14.65" thickBot="1" x14ac:dyDescent="0.5">
      <c r="B39" s="164"/>
      <c r="C39" s="174"/>
      <c r="D39" s="184"/>
      <c r="E39" s="48" t="s">
        <v>251</v>
      </c>
      <c r="F39" s="167"/>
      <c r="G39" s="207" t="str">
        <f>IF(F39="Reactive","R",IF(F39="Proactive","P",IF(F39="Resilient","RE","")))</f>
        <v/>
      </c>
      <c r="H39" s="213"/>
      <c r="I39" s="203"/>
      <c r="J39" s="214"/>
      <c r="K39" s="207" t="str">
        <f t="shared" si="0"/>
        <v/>
      </c>
      <c r="L39" s="220" t="str">
        <f>IFERROR(VLOOKUP(K39,Lists!B:C,2,FALSE),"")</f>
        <v/>
      </c>
      <c r="M39" s="185"/>
    </row>
    <row r="40" spans="2:13" s="4" customFormat="1" ht="14.25" x14ac:dyDescent="0.45">
      <c r="B40" s="164"/>
      <c r="C40" s="172">
        <v>4.2</v>
      </c>
      <c r="D40" s="183" t="s">
        <v>252</v>
      </c>
      <c r="E40" s="44" t="s">
        <v>253</v>
      </c>
      <c r="F40" s="165"/>
      <c r="G40" s="208" t="str">
        <f>IF(F40="Reactive","R",IF(F40="Proactive","P",IF(F40="Resilient","RE","")))</f>
        <v/>
      </c>
      <c r="H40" s="215"/>
      <c r="I40" s="204"/>
      <c r="J40" s="216"/>
      <c r="K40" s="208" t="str">
        <f t="shared" si="0"/>
        <v/>
      </c>
      <c r="L40" s="221" t="str">
        <f>IFERROR(VLOOKUP(K40,Lists!B:C,2,FALSE),"")</f>
        <v/>
      </c>
      <c r="M40" s="18"/>
    </row>
    <row r="41" spans="2:13" s="4" customFormat="1" ht="14.25" x14ac:dyDescent="0.45">
      <c r="B41" s="164"/>
      <c r="C41" s="173"/>
      <c r="D41" s="182"/>
      <c r="E41" s="46" t="s">
        <v>254</v>
      </c>
      <c r="F41" s="166"/>
      <c r="G41" s="206" t="str">
        <f>IF(F41="Reactive","R",IF(F41="Proactive","P",IF(F41="Resilient","RE","")))</f>
        <v/>
      </c>
      <c r="H41" s="211"/>
      <c r="I41" s="202"/>
      <c r="J41" s="212"/>
      <c r="K41" s="206" t="str">
        <f t="shared" si="0"/>
        <v/>
      </c>
      <c r="L41" s="219" t="str">
        <f>IFERROR(VLOOKUP(K41,Lists!B:C,2,FALSE),"")</f>
        <v/>
      </c>
      <c r="M41" s="28"/>
    </row>
    <row r="42" spans="2:13" s="4" customFormat="1" ht="14.25" x14ac:dyDescent="0.45">
      <c r="B42" s="164"/>
      <c r="C42" s="173"/>
      <c r="D42" s="182"/>
      <c r="E42" s="46" t="s">
        <v>255</v>
      </c>
      <c r="F42" s="166"/>
      <c r="G42" s="206" t="str">
        <f>IF(F42="Reactive","R",IF(F42="Proactive","P",IF(F42="Resilient","RE","")))</f>
        <v/>
      </c>
      <c r="H42" s="211"/>
      <c r="I42" s="202"/>
      <c r="J42" s="212"/>
      <c r="K42" s="206" t="str">
        <f t="shared" si="0"/>
        <v/>
      </c>
      <c r="L42" s="219" t="str">
        <f>IFERROR(VLOOKUP(K42,Lists!B:C,2,FALSE),"")</f>
        <v/>
      </c>
      <c r="M42" s="28"/>
    </row>
    <row r="43" spans="2:13" s="4" customFormat="1" ht="14.65" thickBot="1" x14ac:dyDescent="0.5">
      <c r="B43" s="164"/>
      <c r="C43" s="174"/>
      <c r="D43" s="184"/>
      <c r="E43" s="48" t="s">
        <v>256</v>
      </c>
      <c r="F43" s="167"/>
      <c r="G43" s="207" t="str">
        <f>IF(F43="Reactive","R",IF(F43="Proactive","P",IF(F43="Resilient","RE","")))</f>
        <v/>
      </c>
      <c r="H43" s="213"/>
      <c r="I43" s="203"/>
      <c r="J43" s="214"/>
      <c r="K43" s="207" t="str">
        <f t="shared" si="0"/>
        <v/>
      </c>
      <c r="L43" s="220" t="str">
        <f>IFERROR(VLOOKUP(K43,Lists!B:C,2,FALSE),"")</f>
        <v/>
      </c>
      <c r="M43" s="185"/>
    </row>
    <row r="44" spans="2:13" s="4" customFormat="1" ht="14.25" x14ac:dyDescent="0.45">
      <c r="B44" s="164"/>
      <c r="C44" s="172">
        <v>4.3</v>
      </c>
      <c r="D44" s="183" t="s">
        <v>257</v>
      </c>
      <c r="E44" s="44" t="s">
        <v>258</v>
      </c>
      <c r="F44" s="165"/>
      <c r="G44" s="208" t="str">
        <f>IF(F44="Reactive","R",IF(F44="Proactive","P",IF(F44="Resilient","RE","")))</f>
        <v/>
      </c>
      <c r="H44" s="215"/>
      <c r="I44" s="204"/>
      <c r="J44" s="216"/>
      <c r="K44" s="208" t="str">
        <f t="shared" si="0"/>
        <v/>
      </c>
      <c r="L44" s="221" t="str">
        <f>IFERROR(VLOOKUP(K44,Lists!B:C,2,FALSE),"")</f>
        <v/>
      </c>
      <c r="M44" s="18"/>
    </row>
    <row r="45" spans="2:13" s="4" customFormat="1" ht="14.25" x14ac:dyDescent="0.45">
      <c r="B45" s="164"/>
      <c r="C45" s="173"/>
      <c r="D45" s="182"/>
      <c r="E45" s="46" t="s">
        <v>259</v>
      </c>
      <c r="F45" s="166"/>
      <c r="G45" s="206" t="str">
        <f>IF(F45="Reactive","R",IF(F45="Proactive","P",IF(F45="Resilient","RE","")))</f>
        <v/>
      </c>
      <c r="H45" s="211"/>
      <c r="I45" s="202"/>
      <c r="J45" s="212"/>
      <c r="K45" s="206" t="str">
        <f t="shared" si="0"/>
        <v/>
      </c>
      <c r="L45" s="219" t="str">
        <f>IFERROR(VLOOKUP(K45,Lists!B:C,2,FALSE),"")</f>
        <v/>
      </c>
      <c r="M45" s="28"/>
    </row>
    <row r="46" spans="2:13" s="4" customFormat="1" ht="14.25" x14ac:dyDescent="0.45">
      <c r="B46" s="164"/>
      <c r="C46" s="173"/>
      <c r="D46" s="182"/>
      <c r="E46" s="46" t="s">
        <v>260</v>
      </c>
      <c r="F46" s="166"/>
      <c r="G46" s="206" t="str">
        <f>IF(F46="Reactive","R",IF(F46="Proactive","P",IF(F46="Resilient","RE","")))</f>
        <v/>
      </c>
      <c r="H46" s="211"/>
      <c r="I46" s="202"/>
      <c r="J46" s="212"/>
      <c r="K46" s="206" t="str">
        <f t="shared" si="0"/>
        <v/>
      </c>
      <c r="L46" s="219" t="str">
        <f>IFERROR(VLOOKUP(K46,Lists!B:C,2,FALSE),"")</f>
        <v/>
      </c>
      <c r="M46" s="28"/>
    </row>
    <row r="47" spans="2:13" s="4" customFormat="1" ht="14.65" thickBot="1" x14ac:dyDescent="0.5">
      <c r="B47" s="235"/>
      <c r="C47" s="174"/>
      <c r="D47" s="184"/>
      <c r="E47" s="48" t="s">
        <v>261</v>
      </c>
      <c r="F47" s="167"/>
      <c r="G47" s="207" t="str">
        <f>IF(F47="Reactive","R",IF(F47="Proactive","P",IF(F47="Resilient","RE","")))</f>
        <v/>
      </c>
      <c r="H47" s="213"/>
      <c r="I47" s="203"/>
      <c r="J47" s="214"/>
      <c r="K47" s="207" t="str">
        <f t="shared" si="0"/>
        <v/>
      </c>
      <c r="L47" s="220" t="str">
        <f>IFERROR(VLOOKUP(K47,Lists!B:C,2,FALSE),"")</f>
        <v/>
      </c>
      <c r="M47" s="20"/>
    </row>
    <row r="48" spans="2:13" s="4" customFormat="1" ht="3.6" customHeight="1" thickBot="1" x14ac:dyDescent="0.75">
      <c r="B48" s="9"/>
      <c r="C48" s="10"/>
      <c r="D48" s="10"/>
      <c r="E48" s="10"/>
      <c r="F48" s="199"/>
      <c r="G48" s="199"/>
      <c r="H48" s="199"/>
      <c r="I48" s="199"/>
      <c r="J48" s="199"/>
      <c r="K48" s="198"/>
      <c r="L48" s="199"/>
      <c r="M48" s="10"/>
    </row>
    <row r="49" spans="2:13" s="4" customFormat="1" ht="25.9" thickBot="1" x14ac:dyDescent="0.5">
      <c r="B49" s="260" t="s">
        <v>16</v>
      </c>
      <c r="C49" s="261"/>
      <c r="D49" s="262" t="s">
        <v>291</v>
      </c>
      <c r="E49" s="263"/>
      <c r="F49" s="238"/>
      <c r="G49" s="238"/>
      <c r="H49" s="229" t="s">
        <v>216</v>
      </c>
      <c r="I49" s="229" t="s">
        <v>203</v>
      </c>
      <c r="J49" s="229" t="s">
        <v>217</v>
      </c>
      <c r="K49" s="238"/>
      <c r="L49" s="229" t="s">
        <v>292</v>
      </c>
      <c r="M49" s="229" t="s">
        <v>293</v>
      </c>
    </row>
    <row r="50" spans="2:13" s="4" customFormat="1" ht="23.25" customHeight="1" x14ac:dyDescent="0.45">
      <c r="B50" s="245" t="s">
        <v>17</v>
      </c>
      <c r="C50" s="246"/>
      <c r="D50" s="251" t="s">
        <v>19</v>
      </c>
      <c r="E50" s="252"/>
      <c r="F50" s="253"/>
      <c r="G50" s="259"/>
      <c r="H50" s="283">
        <f>COUNTIF(H12:H19,"C")</f>
        <v>2</v>
      </c>
      <c r="I50" s="24">
        <f>COUNTIF(I12:I19,"Q")</f>
        <v>1</v>
      </c>
      <c r="J50" s="21">
        <f>COUNTIF(J12:J19,"S")</f>
        <v>1</v>
      </c>
      <c r="K50" s="200"/>
      <c r="L50" s="264">
        <f>AVERAGE(L12:L19)</f>
        <v>5</v>
      </c>
      <c r="M50" s="11"/>
    </row>
    <row r="51" spans="2:13" s="4" customFormat="1" ht="23.25" customHeight="1" x14ac:dyDescent="0.45">
      <c r="B51" s="247"/>
      <c r="C51" s="248"/>
      <c r="D51" s="254" t="s">
        <v>20</v>
      </c>
      <c r="E51" s="244"/>
      <c r="F51" s="255"/>
      <c r="G51" s="259"/>
      <c r="H51" s="284">
        <f>COUNTIF(H20:H27,"C")</f>
        <v>0</v>
      </c>
      <c r="I51" s="189">
        <f>COUNTIF(I20:I27,"Q")</f>
        <v>0</v>
      </c>
      <c r="J51" s="22">
        <f>COUNTIF(J20:J27,"S")</f>
        <v>0</v>
      </c>
      <c r="K51" s="200"/>
      <c r="L51" s="264" t="e">
        <f>AVERAGE(L20:L27)</f>
        <v>#DIV/0!</v>
      </c>
      <c r="M51" s="11"/>
    </row>
    <row r="52" spans="2:13" s="4" customFormat="1" ht="23.25" customHeight="1" x14ac:dyDescent="0.45">
      <c r="B52" s="247"/>
      <c r="C52" s="248"/>
      <c r="D52" s="254" t="s">
        <v>21</v>
      </c>
      <c r="E52" s="244"/>
      <c r="F52" s="255"/>
      <c r="G52" s="259"/>
      <c r="H52" s="284">
        <f>COUNTIF(H28:H35,"C")</f>
        <v>0</v>
      </c>
      <c r="I52" s="189">
        <f>COUNTIF(I28:I35,"Q")</f>
        <v>0</v>
      </c>
      <c r="J52" s="22">
        <f>COUNTIF(J28:J35,"S")</f>
        <v>0</v>
      </c>
      <c r="K52" s="200"/>
      <c r="L52" s="264" t="e">
        <f>AVERAGE(L28:L35)</f>
        <v>#DIV/0!</v>
      </c>
      <c r="M52" s="11"/>
    </row>
    <row r="53" spans="2:13" s="4" customFormat="1" ht="23.25" customHeight="1" thickBot="1" x14ac:dyDescent="0.5">
      <c r="B53" s="249"/>
      <c r="C53" s="250"/>
      <c r="D53" s="256" t="s">
        <v>22</v>
      </c>
      <c r="E53" s="257"/>
      <c r="F53" s="258"/>
      <c r="G53" s="259"/>
      <c r="H53" s="285">
        <f>COUNTIF(H36:H47,"C")</f>
        <v>0</v>
      </c>
      <c r="I53" s="25">
        <f>COUNTIF(I36:I47,"Q")</f>
        <v>0</v>
      </c>
      <c r="J53" s="23">
        <f>COUNTIF(J36:J47,"S")</f>
        <v>0</v>
      </c>
      <c r="K53" s="200"/>
      <c r="L53" s="264" t="e">
        <f>AVERAGE(L36:L47)</f>
        <v>#DIV/0!</v>
      </c>
      <c r="M53" s="11"/>
    </row>
    <row r="54" spans="2:13" s="4" customFormat="1" ht="23.25" customHeight="1" thickBot="1" x14ac:dyDescent="0.5">
      <c r="B54" s="236"/>
      <c r="C54" s="237"/>
      <c r="D54" s="239" t="s">
        <v>18</v>
      </c>
      <c r="E54" s="240"/>
      <c r="F54" s="241"/>
      <c r="G54" s="242"/>
      <c r="H54" s="242">
        <f>COUNTIF(H12:H47,"X")</f>
        <v>0</v>
      </c>
      <c r="I54" s="242">
        <f t="shared" ref="I54:J54" si="1">COUNTIF(I12:I47,"X")</f>
        <v>1</v>
      </c>
      <c r="J54" s="242">
        <f t="shared" si="1"/>
        <v>1</v>
      </c>
      <c r="K54" s="242"/>
      <c r="L54" s="286" t="e">
        <f>AVERAGE(L50:L53)</f>
        <v>#DIV/0!</v>
      </c>
      <c r="M54" s="243"/>
    </row>
    <row r="55" spans="2:13" s="4" customFormat="1" x14ac:dyDescent="0.7">
      <c r="B55" s="5"/>
      <c r="F55" s="52"/>
      <c r="G55" s="52"/>
      <c r="H55" s="52"/>
      <c r="I55" s="52"/>
      <c r="J55" s="52"/>
      <c r="K55" s="52"/>
      <c r="L55" s="52"/>
    </row>
    <row r="56" spans="2:13" s="4" customFormat="1" ht="21" x14ac:dyDescent="0.45">
      <c r="B56" s="50"/>
      <c r="C56" s="51"/>
      <c r="D56" s="51"/>
      <c r="E56" s="51"/>
      <c r="F56" s="201"/>
      <c r="G56" s="201"/>
      <c r="H56" s="201"/>
      <c r="I56" s="201"/>
      <c r="J56" s="201"/>
      <c r="K56" s="201"/>
      <c r="L56" s="201"/>
    </row>
    <row r="57" spans="2:13" s="4" customFormat="1" x14ac:dyDescent="0.7">
      <c r="B57" s="5"/>
      <c r="F57" s="52"/>
      <c r="G57" s="52"/>
      <c r="H57" s="52"/>
      <c r="I57" s="52"/>
      <c r="J57" s="52"/>
      <c r="K57" s="52"/>
      <c r="L57" s="52"/>
    </row>
    <row r="58" spans="2:13" s="4" customFormat="1" x14ac:dyDescent="0.7">
      <c r="B58" s="5"/>
      <c r="F58" s="52"/>
      <c r="G58" s="52"/>
      <c r="H58" s="52"/>
      <c r="I58" s="52"/>
      <c r="J58" s="52"/>
      <c r="K58" s="52"/>
      <c r="L58" s="52"/>
    </row>
    <row r="59" spans="2:13" s="4" customFormat="1" x14ac:dyDescent="0.7">
      <c r="B59" s="5"/>
      <c r="F59" s="52"/>
      <c r="G59" s="52"/>
      <c r="H59" s="52"/>
      <c r="I59" s="52"/>
      <c r="J59" s="52"/>
      <c r="K59" s="52"/>
      <c r="L59" s="52"/>
    </row>
    <row r="60" spans="2:13" s="4" customFormat="1" x14ac:dyDescent="0.7">
      <c r="B60" s="5"/>
      <c r="F60" s="52"/>
      <c r="G60" s="52"/>
      <c r="H60" s="52"/>
      <c r="I60" s="52"/>
      <c r="J60" s="52"/>
      <c r="K60" s="52"/>
      <c r="L60" s="52"/>
    </row>
    <row r="61" spans="2:13" s="4" customFormat="1" x14ac:dyDescent="0.7">
      <c r="B61" s="5"/>
      <c r="F61" s="52"/>
      <c r="G61" s="52"/>
      <c r="H61" s="52"/>
      <c r="I61" s="52"/>
      <c r="J61" s="52"/>
      <c r="K61" s="52"/>
      <c r="L61" s="52"/>
    </row>
    <row r="62" spans="2:13" s="4" customFormat="1" x14ac:dyDescent="0.7">
      <c r="B62" s="5"/>
      <c r="F62" s="52"/>
      <c r="G62" s="52"/>
      <c r="H62" s="52"/>
      <c r="I62" s="52"/>
      <c r="J62" s="52"/>
      <c r="K62" s="52"/>
      <c r="L62" s="52"/>
    </row>
    <row r="63" spans="2:13" s="4" customFormat="1" x14ac:dyDescent="0.7">
      <c r="B63" s="5"/>
      <c r="F63" s="52"/>
      <c r="G63" s="52"/>
      <c r="H63" s="52"/>
      <c r="I63" s="52"/>
      <c r="J63" s="52"/>
      <c r="K63" s="52"/>
      <c r="L63" s="52"/>
    </row>
    <row r="64" spans="2:13" s="4" customFormat="1" x14ac:dyDescent="0.7">
      <c r="B64" s="5"/>
      <c r="F64" s="52"/>
      <c r="G64" s="52"/>
      <c r="H64" s="52"/>
      <c r="I64" s="52"/>
      <c r="J64" s="52"/>
      <c r="K64" s="52"/>
      <c r="L64" s="52"/>
    </row>
    <row r="65" spans="2:12" s="4" customFormat="1" x14ac:dyDescent="0.7">
      <c r="B65" s="5"/>
      <c r="F65" s="52"/>
      <c r="G65" s="52"/>
      <c r="H65" s="52"/>
      <c r="I65" s="52"/>
      <c r="J65" s="52"/>
      <c r="K65" s="52"/>
      <c r="L65" s="52"/>
    </row>
    <row r="66" spans="2:12" s="4" customFormat="1" x14ac:dyDescent="0.7">
      <c r="B66" s="5"/>
      <c r="F66" s="52"/>
      <c r="G66" s="52"/>
      <c r="H66" s="52"/>
      <c r="I66" s="52"/>
      <c r="J66" s="52"/>
      <c r="K66" s="52"/>
      <c r="L66" s="52"/>
    </row>
    <row r="67" spans="2:12" s="4" customFormat="1" x14ac:dyDescent="0.7">
      <c r="B67" s="5"/>
      <c r="F67" s="52"/>
      <c r="G67" s="52"/>
      <c r="H67" s="52"/>
      <c r="I67" s="52"/>
      <c r="J67" s="52"/>
      <c r="K67" s="52"/>
      <c r="L67" s="52"/>
    </row>
    <row r="68" spans="2:12" s="4" customFormat="1" x14ac:dyDescent="0.7">
      <c r="B68" s="5"/>
      <c r="F68" s="52"/>
      <c r="G68" s="52"/>
      <c r="H68" s="52"/>
      <c r="I68" s="52"/>
      <c r="J68" s="52"/>
      <c r="K68" s="52"/>
      <c r="L68" s="52"/>
    </row>
    <row r="69" spans="2:12" s="4" customFormat="1" x14ac:dyDescent="0.7">
      <c r="B69" s="5"/>
      <c r="F69" s="52"/>
      <c r="G69" s="52"/>
      <c r="H69" s="52"/>
      <c r="I69" s="52"/>
      <c r="J69" s="52"/>
      <c r="K69" s="52"/>
      <c r="L69" s="52"/>
    </row>
    <row r="70" spans="2:12" s="4" customFormat="1" x14ac:dyDescent="0.7">
      <c r="B70" s="5"/>
      <c r="F70" s="52"/>
      <c r="G70" s="52"/>
      <c r="H70" s="52"/>
      <c r="I70" s="52"/>
      <c r="J70" s="52"/>
      <c r="K70" s="52"/>
      <c r="L70" s="52"/>
    </row>
    <row r="71" spans="2:12" s="4" customFormat="1" x14ac:dyDescent="0.7">
      <c r="B71" s="5"/>
      <c r="F71" s="52"/>
      <c r="G71" s="52"/>
      <c r="H71" s="52"/>
      <c r="I71" s="52"/>
      <c r="J71" s="52"/>
      <c r="K71" s="52"/>
      <c r="L71" s="52"/>
    </row>
    <row r="72" spans="2:12" s="4" customFormat="1" x14ac:dyDescent="0.7">
      <c r="B72" s="5"/>
      <c r="F72" s="52"/>
      <c r="G72" s="52"/>
      <c r="H72" s="52"/>
      <c r="I72" s="52"/>
      <c r="J72" s="52"/>
      <c r="K72" s="52"/>
      <c r="L72" s="52"/>
    </row>
    <row r="73" spans="2:12" s="4" customFormat="1" x14ac:dyDescent="0.7">
      <c r="B73" s="5"/>
      <c r="F73" s="52"/>
      <c r="G73" s="52"/>
      <c r="H73" s="52"/>
      <c r="I73" s="52"/>
      <c r="J73" s="52"/>
      <c r="K73" s="52"/>
      <c r="L73" s="52"/>
    </row>
    <row r="74" spans="2:12" s="4" customFormat="1" x14ac:dyDescent="0.7">
      <c r="B74" s="5"/>
      <c r="F74" s="52"/>
      <c r="G74" s="52"/>
      <c r="H74" s="52"/>
      <c r="I74" s="52"/>
      <c r="J74" s="52"/>
      <c r="K74" s="52"/>
      <c r="L74" s="52"/>
    </row>
    <row r="75" spans="2:12" s="4" customFormat="1" x14ac:dyDescent="0.7">
      <c r="B75" s="5"/>
      <c r="F75" s="52"/>
      <c r="G75" s="52"/>
      <c r="H75" s="52"/>
      <c r="I75" s="52"/>
      <c r="J75" s="52"/>
      <c r="K75" s="52"/>
      <c r="L75" s="52"/>
    </row>
    <row r="76" spans="2:12" s="4" customFormat="1" x14ac:dyDescent="0.7">
      <c r="B76" s="5"/>
      <c r="F76" s="52"/>
      <c r="G76" s="52"/>
      <c r="H76" s="52"/>
      <c r="I76" s="52"/>
      <c r="J76" s="52"/>
      <c r="K76" s="52"/>
      <c r="L76" s="52"/>
    </row>
    <row r="77" spans="2:12" s="4" customFormat="1" x14ac:dyDescent="0.7">
      <c r="B77" s="5"/>
      <c r="F77" s="52"/>
      <c r="G77" s="52"/>
      <c r="H77" s="52"/>
      <c r="I77" s="52"/>
      <c r="J77" s="52"/>
      <c r="K77" s="52"/>
      <c r="L77" s="52"/>
    </row>
    <row r="78" spans="2:12" s="4" customFormat="1" x14ac:dyDescent="0.7">
      <c r="B78" s="5"/>
      <c r="F78" s="52"/>
      <c r="G78" s="52"/>
      <c r="H78" s="52"/>
      <c r="I78" s="52"/>
      <c r="J78" s="52"/>
      <c r="K78" s="52"/>
      <c r="L78" s="52"/>
    </row>
    <row r="79" spans="2:12" s="4" customFormat="1" x14ac:dyDescent="0.7">
      <c r="B79" s="5"/>
      <c r="F79" s="52"/>
      <c r="G79" s="52"/>
      <c r="H79" s="52"/>
      <c r="I79" s="52"/>
      <c r="J79" s="52"/>
      <c r="K79" s="52"/>
      <c r="L79" s="52"/>
    </row>
    <row r="80" spans="2:12" s="4" customFormat="1" x14ac:dyDescent="0.7">
      <c r="B80" s="5"/>
      <c r="F80" s="52"/>
      <c r="G80" s="52"/>
      <c r="H80" s="52"/>
      <c r="I80" s="52"/>
      <c r="J80" s="52"/>
      <c r="K80" s="52"/>
      <c r="L80" s="52"/>
    </row>
    <row r="81" spans="2:12" s="4" customFormat="1" x14ac:dyDescent="0.7">
      <c r="B81" s="5"/>
      <c r="F81" s="52"/>
      <c r="G81" s="52"/>
      <c r="H81" s="52"/>
      <c r="I81" s="52"/>
      <c r="J81" s="52"/>
      <c r="K81" s="52"/>
      <c r="L81" s="52"/>
    </row>
    <row r="82" spans="2:12" s="4" customFormat="1" x14ac:dyDescent="0.7">
      <c r="B82" s="5"/>
      <c r="F82" s="52"/>
      <c r="G82" s="52"/>
      <c r="H82" s="52"/>
      <c r="I82" s="52"/>
      <c r="J82" s="52"/>
      <c r="K82" s="52"/>
      <c r="L82" s="52"/>
    </row>
    <row r="83" spans="2:12" s="4" customFormat="1" x14ac:dyDescent="0.7">
      <c r="B83" s="5"/>
      <c r="F83" s="52"/>
      <c r="G83" s="52"/>
      <c r="H83" s="52"/>
      <c r="I83" s="52"/>
      <c r="J83" s="52"/>
      <c r="K83" s="52"/>
      <c r="L83" s="52"/>
    </row>
    <row r="84" spans="2:12" s="4" customFormat="1" x14ac:dyDescent="0.7">
      <c r="B84" s="5"/>
      <c r="F84" s="52"/>
      <c r="G84" s="52"/>
      <c r="H84" s="52"/>
      <c r="I84" s="52"/>
      <c r="J84" s="52"/>
      <c r="K84" s="52"/>
      <c r="L84" s="52"/>
    </row>
    <row r="85" spans="2:12" s="4" customFormat="1" x14ac:dyDescent="0.7">
      <c r="B85" s="5"/>
      <c r="F85" s="52"/>
      <c r="G85" s="52"/>
      <c r="H85" s="52"/>
      <c r="I85" s="52"/>
      <c r="J85" s="52"/>
      <c r="K85" s="52"/>
      <c r="L85" s="52"/>
    </row>
    <row r="86" spans="2:12" s="4" customFormat="1" x14ac:dyDescent="0.7">
      <c r="B86" s="5"/>
      <c r="F86" s="52"/>
      <c r="G86" s="52"/>
      <c r="H86" s="52"/>
      <c r="I86" s="52"/>
      <c r="J86" s="52"/>
      <c r="K86" s="52"/>
      <c r="L86" s="52"/>
    </row>
    <row r="87" spans="2:12" s="4" customFormat="1" x14ac:dyDescent="0.7">
      <c r="B87" s="5"/>
      <c r="F87" s="52"/>
      <c r="G87" s="52"/>
      <c r="H87" s="52"/>
      <c r="I87" s="52"/>
      <c r="J87" s="52"/>
      <c r="K87" s="52"/>
      <c r="L87" s="52"/>
    </row>
    <row r="88" spans="2:12" s="4" customFormat="1" x14ac:dyDescent="0.7">
      <c r="B88" s="5"/>
      <c r="F88" s="52"/>
      <c r="G88" s="52"/>
      <c r="H88" s="52"/>
      <c r="I88" s="52"/>
      <c r="J88" s="52"/>
      <c r="K88" s="52"/>
      <c r="L88" s="52"/>
    </row>
    <row r="89" spans="2:12" s="4" customFormat="1" x14ac:dyDescent="0.7">
      <c r="B89" s="5"/>
      <c r="F89" s="52"/>
      <c r="G89" s="52"/>
      <c r="H89" s="52"/>
      <c r="I89" s="52"/>
      <c r="J89" s="52"/>
      <c r="K89" s="52"/>
      <c r="L89" s="52"/>
    </row>
    <row r="90" spans="2:12" s="4" customFormat="1" x14ac:dyDescent="0.7">
      <c r="B90" s="5"/>
      <c r="F90" s="52"/>
      <c r="G90" s="52"/>
      <c r="H90" s="52"/>
      <c r="I90" s="52"/>
      <c r="J90" s="52"/>
      <c r="K90" s="52"/>
      <c r="L90" s="52"/>
    </row>
    <row r="91" spans="2:12" s="4" customFormat="1" x14ac:dyDescent="0.7">
      <c r="B91" s="5"/>
      <c r="F91" s="52"/>
      <c r="G91" s="52"/>
      <c r="H91" s="52"/>
      <c r="I91" s="52"/>
      <c r="J91" s="52"/>
      <c r="K91" s="52"/>
      <c r="L91" s="52"/>
    </row>
    <row r="92" spans="2:12" s="4" customFormat="1" x14ac:dyDescent="0.7">
      <c r="B92" s="5"/>
      <c r="F92" s="52"/>
      <c r="G92" s="52"/>
      <c r="H92" s="52"/>
      <c r="I92" s="52"/>
      <c r="J92" s="52"/>
      <c r="K92" s="52"/>
      <c r="L92" s="52"/>
    </row>
    <row r="93" spans="2:12" s="4" customFormat="1" x14ac:dyDescent="0.7">
      <c r="B93" s="5"/>
      <c r="F93" s="52"/>
      <c r="G93" s="52"/>
      <c r="H93" s="52"/>
      <c r="I93" s="52"/>
      <c r="J93" s="52"/>
      <c r="K93" s="52"/>
      <c r="L93" s="52"/>
    </row>
    <row r="94" spans="2:12" s="4" customFormat="1" x14ac:dyDescent="0.7">
      <c r="B94" s="5"/>
      <c r="F94" s="52"/>
      <c r="G94" s="52"/>
      <c r="H94" s="52"/>
      <c r="I94" s="52"/>
      <c r="J94" s="52"/>
      <c r="K94" s="52"/>
      <c r="L94" s="52"/>
    </row>
    <row r="95" spans="2:12" s="4" customFormat="1" x14ac:dyDescent="0.7">
      <c r="B95" s="5"/>
      <c r="F95" s="52"/>
      <c r="G95" s="52"/>
      <c r="H95" s="52"/>
      <c r="I95" s="52"/>
      <c r="J95" s="52"/>
      <c r="K95" s="52"/>
      <c r="L95" s="52"/>
    </row>
    <row r="96" spans="2:12" s="4" customFormat="1" x14ac:dyDescent="0.7">
      <c r="B96" s="5"/>
      <c r="F96" s="52"/>
      <c r="G96" s="52"/>
      <c r="H96" s="52"/>
      <c r="I96" s="52"/>
      <c r="J96" s="52"/>
      <c r="K96" s="52"/>
      <c r="L96" s="52"/>
    </row>
    <row r="97" spans="2:12" s="4" customFormat="1" x14ac:dyDescent="0.7">
      <c r="B97" s="5"/>
      <c r="F97" s="52"/>
      <c r="G97" s="52"/>
      <c r="H97" s="52"/>
      <c r="I97" s="52"/>
      <c r="J97" s="52"/>
      <c r="K97" s="52"/>
      <c r="L97" s="52"/>
    </row>
    <row r="98" spans="2:12" s="4" customFormat="1" x14ac:dyDescent="0.7">
      <c r="B98" s="5"/>
      <c r="F98" s="52"/>
      <c r="G98" s="52"/>
      <c r="H98" s="52"/>
      <c r="I98" s="52"/>
      <c r="J98" s="52"/>
      <c r="K98" s="52"/>
      <c r="L98" s="52"/>
    </row>
    <row r="99" spans="2:12" s="4" customFormat="1" x14ac:dyDescent="0.7">
      <c r="B99" s="5"/>
      <c r="F99" s="52"/>
      <c r="G99" s="52"/>
      <c r="H99" s="52"/>
      <c r="I99" s="52"/>
      <c r="J99" s="52"/>
      <c r="K99" s="52"/>
      <c r="L99" s="52"/>
    </row>
    <row r="100" spans="2:12" s="4" customFormat="1" x14ac:dyDescent="0.7">
      <c r="B100" s="5"/>
      <c r="F100" s="52"/>
      <c r="G100" s="52"/>
      <c r="H100" s="52"/>
      <c r="I100" s="52"/>
      <c r="J100" s="52"/>
      <c r="K100" s="52"/>
      <c r="L100" s="52"/>
    </row>
    <row r="101" spans="2:12" s="4" customFormat="1" x14ac:dyDescent="0.7">
      <c r="B101" s="5"/>
      <c r="F101" s="52"/>
      <c r="G101" s="52"/>
      <c r="H101" s="52"/>
      <c r="I101" s="52"/>
      <c r="J101" s="52"/>
      <c r="K101" s="52"/>
      <c r="L101" s="52"/>
    </row>
    <row r="102" spans="2:12" s="4" customFormat="1" x14ac:dyDescent="0.7">
      <c r="B102" s="5"/>
      <c r="F102" s="52"/>
      <c r="G102" s="52"/>
      <c r="H102" s="52"/>
      <c r="I102" s="52"/>
      <c r="J102" s="52"/>
      <c r="K102" s="52"/>
      <c r="L102" s="52"/>
    </row>
    <row r="103" spans="2:12" s="4" customFormat="1" x14ac:dyDescent="0.7">
      <c r="B103" s="5"/>
      <c r="F103" s="52"/>
      <c r="G103" s="52"/>
      <c r="H103" s="52"/>
      <c r="I103" s="52"/>
      <c r="J103" s="52"/>
      <c r="K103" s="52"/>
      <c r="L103" s="52"/>
    </row>
    <row r="104" spans="2:12" s="4" customFormat="1" x14ac:dyDescent="0.7">
      <c r="B104" s="5"/>
      <c r="F104" s="52"/>
      <c r="G104" s="52"/>
      <c r="H104" s="52"/>
      <c r="I104" s="52"/>
      <c r="J104" s="52"/>
      <c r="K104" s="52"/>
      <c r="L104" s="52"/>
    </row>
    <row r="105" spans="2:12" s="4" customFormat="1" x14ac:dyDescent="0.7">
      <c r="B105" s="5"/>
      <c r="F105" s="52"/>
      <c r="G105" s="52"/>
      <c r="H105" s="52"/>
      <c r="I105" s="52"/>
      <c r="J105" s="52"/>
      <c r="K105" s="52"/>
      <c r="L105" s="52"/>
    </row>
    <row r="106" spans="2:12" s="4" customFormat="1" x14ac:dyDescent="0.7">
      <c r="B106" s="5"/>
      <c r="F106" s="52"/>
      <c r="G106" s="52"/>
      <c r="H106" s="52"/>
      <c r="I106" s="52"/>
      <c r="J106" s="52"/>
      <c r="K106" s="52"/>
      <c r="L106" s="52"/>
    </row>
    <row r="107" spans="2:12" s="4" customFormat="1" x14ac:dyDescent="0.7">
      <c r="B107" s="5"/>
      <c r="F107" s="52"/>
      <c r="G107" s="52"/>
      <c r="H107" s="52"/>
      <c r="I107" s="52"/>
      <c r="J107" s="52"/>
      <c r="K107" s="52"/>
      <c r="L107" s="52"/>
    </row>
    <row r="108" spans="2:12" s="4" customFormat="1" x14ac:dyDescent="0.7">
      <c r="B108" s="5"/>
      <c r="F108" s="52"/>
      <c r="G108" s="52"/>
      <c r="H108" s="52"/>
      <c r="I108" s="52"/>
      <c r="J108" s="52"/>
      <c r="K108" s="52"/>
      <c r="L108" s="52"/>
    </row>
    <row r="109" spans="2:12" s="4" customFormat="1" x14ac:dyDescent="0.7">
      <c r="B109" s="5"/>
      <c r="F109" s="52"/>
      <c r="G109" s="52"/>
      <c r="H109" s="52"/>
      <c r="I109" s="52"/>
      <c r="J109" s="52"/>
      <c r="K109" s="52"/>
      <c r="L109" s="52"/>
    </row>
    <row r="110" spans="2:12" s="4" customFormat="1" x14ac:dyDescent="0.7">
      <c r="B110" s="5"/>
      <c r="F110" s="52"/>
      <c r="G110" s="52"/>
      <c r="H110" s="52"/>
      <c r="I110" s="52"/>
      <c r="J110" s="52"/>
      <c r="K110" s="52"/>
      <c r="L110" s="52"/>
    </row>
    <row r="111" spans="2:12" s="4" customFormat="1" x14ac:dyDescent="0.7">
      <c r="B111" s="5"/>
      <c r="F111" s="52"/>
      <c r="G111" s="52"/>
      <c r="H111" s="52"/>
      <c r="I111" s="52"/>
      <c r="J111" s="52"/>
      <c r="K111" s="52"/>
      <c r="L111" s="52"/>
    </row>
    <row r="112" spans="2:12" s="4" customFormat="1" x14ac:dyDescent="0.7">
      <c r="B112" s="5"/>
      <c r="F112" s="52"/>
      <c r="G112" s="52"/>
      <c r="H112" s="52"/>
      <c r="I112" s="52"/>
      <c r="J112" s="52"/>
      <c r="K112" s="52"/>
      <c r="L112" s="52"/>
    </row>
    <row r="113" spans="2:12" s="4" customFormat="1" x14ac:dyDescent="0.7">
      <c r="B113" s="5"/>
      <c r="F113" s="52"/>
      <c r="G113" s="52"/>
      <c r="H113" s="52"/>
      <c r="I113" s="52"/>
      <c r="J113" s="52"/>
      <c r="K113" s="52"/>
      <c r="L113" s="52"/>
    </row>
    <row r="114" spans="2:12" s="4" customFormat="1" x14ac:dyDescent="0.7">
      <c r="B114" s="5"/>
      <c r="F114" s="52"/>
      <c r="G114" s="52"/>
      <c r="H114" s="52"/>
      <c r="I114" s="52"/>
      <c r="J114" s="52"/>
      <c r="K114" s="52"/>
      <c r="L114" s="52"/>
    </row>
    <row r="115" spans="2:12" s="4" customFormat="1" x14ac:dyDescent="0.7">
      <c r="B115" s="5"/>
      <c r="F115" s="52"/>
      <c r="G115" s="52"/>
      <c r="H115" s="52"/>
      <c r="I115" s="52"/>
      <c r="J115" s="52"/>
      <c r="K115" s="52"/>
      <c r="L115" s="52"/>
    </row>
    <row r="116" spans="2:12" s="4" customFormat="1" x14ac:dyDescent="0.7">
      <c r="B116" s="5"/>
      <c r="F116" s="52"/>
      <c r="G116" s="52"/>
      <c r="H116" s="52"/>
      <c r="I116" s="52"/>
      <c r="J116" s="52"/>
      <c r="K116" s="52"/>
      <c r="L116" s="52"/>
    </row>
    <row r="117" spans="2:12" s="4" customFormat="1" x14ac:dyDescent="0.7">
      <c r="B117" s="5"/>
      <c r="F117" s="52"/>
      <c r="G117" s="52"/>
      <c r="H117" s="52"/>
      <c r="I117" s="52"/>
      <c r="J117" s="52"/>
      <c r="K117" s="52"/>
      <c r="L117" s="52"/>
    </row>
    <row r="118" spans="2:12" s="4" customFormat="1" x14ac:dyDescent="0.7">
      <c r="B118" s="5"/>
      <c r="F118" s="52"/>
      <c r="G118" s="52"/>
      <c r="H118" s="52"/>
      <c r="I118" s="52"/>
      <c r="J118" s="52"/>
      <c r="K118" s="52"/>
      <c r="L118" s="52"/>
    </row>
    <row r="119" spans="2:12" s="4" customFormat="1" x14ac:dyDescent="0.7">
      <c r="B119" s="5"/>
      <c r="F119" s="52"/>
      <c r="G119" s="52"/>
      <c r="H119" s="52"/>
      <c r="I119" s="52"/>
      <c r="J119" s="52"/>
      <c r="K119" s="52"/>
      <c r="L119" s="52"/>
    </row>
    <row r="120" spans="2:12" s="4" customFormat="1" x14ac:dyDescent="0.7">
      <c r="B120" s="5"/>
      <c r="F120" s="52"/>
      <c r="G120" s="52"/>
      <c r="H120" s="52"/>
      <c r="I120" s="52"/>
      <c r="J120" s="52"/>
      <c r="K120" s="52"/>
      <c r="L120" s="52"/>
    </row>
    <row r="121" spans="2:12" s="4" customFormat="1" x14ac:dyDescent="0.7">
      <c r="B121" s="5"/>
      <c r="F121" s="52"/>
      <c r="G121" s="52"/>
      <c r="H121" s="52"/>
      <c r="I121" s="52"/>
      <c r="J121" s="52"/>
      <c r="K121" s="52"/>
      <c r="L121" s="52"/>
    </row>
    <row r="122" spans="2:12" s="4" customFormat="1" x14ac:dyDescent="0.7">
      <c r="B122" s="5"/>
      <c r="F122" s="52"/>
      <c r="G122" s="52"/>
      <c r="H122" s="52"/>
      <c r="I122" s="52"/>
      <c r="J122" s="52"/>
      <c r="K122" s="52"/>
      <c r="L122" s="52"/>
    </row>
    <row r="123" spans="2:12" s="4" customFormat="1" x14ac:dyDescent="0.7">
      <c r="B123" s="5"/>
      <c r="F123" s="52"/>
      <c r="G123" s="52"/>
      <c r="H123" s="52"/>
      <c r="I123" s="52"/>
      <c r="J123" s="52"/>
      <c r="K123" s="52"/>
      <c r="L123" s="52"/>
    </row>
    <row r="124" spans="2:12" s="4" customFormat="1" x14ac:dyDescent="0.7">
      <c r="B124" s="5"/>
      <c r="F124" s="52"/>
      <c r="G124" s="52"/>
      <c r="H124" s="52"/>
      <c r="I124" s="52"/>
      <c r="J124" s="52"/>
      <c r="K124" s="52"/>
      <c r="L124" s="52"/>
    </row>
    <row r="125" spans="2:12" s="4" customFormat="1" x14ac:dyDescent="0.7">
      <c r="B125" s="5"/>
      <c r="F125" s="52"/>
      <c r="G125" s="52"/>
      <c r="H125" s="52"/>
      <c r="I125" s="52"/>
      <c r="J125" s="52"/>
      <c r="K125" s="52"/>
      <c r="L125" s="52"/>
    </row>
    <row r="126" spans="2:12" s="4" customFormat="1" x14ac:dyDescent="0.7">
      <c r="B126" s="5"/>
      <c r="F126" s="52"/>
      <c r="G126" s="52"/>
      <c r="H126" s="52"/>
      <c r="I126" s="52"/>
      <c r="J126" s="52"/>
      <c r="K126" s="52"/>
      <c r="L126" s="52"/>
    </row>
    <row r="127" spans="2:12" s="4" customFormat="1" x14ac:dyDescent="0.7">
      <c r="B127" s="5"/>
      <c r="F127" s="52"/>
      <c r="G127" s="52"/>
      <c r="H127" s="52"/>
      <c r="I127" s="52"/>
      <c r="J127" s="52"/>
      <c r="K127" s="52"/>
      <c r="L127" s="52"/>
    </row>
    <row r="128" spans="2:12" s="4" customFormat="1" x14ac:dyDescent="0.7">
      <c r="B128" s="5"/>
      <c r="F128" s="52"/>
      <c r="G128" s="52"/>
      <c r="H128" s="52"/>
      <c r="I128" s="52"/>
      <c r="J128" s="52"/>
      <c r="K128" s="52"/>
      <c r="L128" s="52"/>
    </row>
    <row r="129" spans="2:12" s="4" customFormat="1" x14ac:dyDescent="0.7">
      <c r="B129" s="5"/>
      <c r="F129" s="52"/>
      <c r="G129" s="52"/>
      <c r="H129" s="52"/>
      <c r="I129" s="52"/>
      <c r="J129" s="52"/>
      <c r="K129" s="52"/>
      <c r="L129" s="52"/>
    </row>
    <row r="130" spans="2:12" s="4" customFormat="1" x14ac:dyDescent="0.7">
      <c r="B130" s="5"/>
      <c r="F130" s="52"/>
      <c r="G130" s="52"/>
      <c r="H130" s="52"/>
      <c r="I130" s="52"/>
      <c r="J130" s="52"/>
      <c r="K130" s="52"/>
      <c r="L130" s="52"/>
    </row>
    <row r="131" spans="2:12" s="4" customFormat="1" x14ac:dyDescent="0.7">
      <c r="B131" s="5"/>
      <c r="F131" s="52"/>
      <c r="G131" s="52"/>
      <c r="H131" s="52"/>
      <c r="I131" s="52"/>
      <c r="J131" s="52"/>
      <c r="K131" s="52"/>
      <c r="L131" s="52"/>
    </row>
    <row r="132" spans="2:12" s="4" customFormat="1" x14ac:dyDescent="0.7">
      <c r="B132" s="5"/>
      <c r="F132" s="52"/>
      <c r="G132" s="52"/>
      <c r="H132" s="52"/>
      <c r="I132" s="52"/>
      <c r="J132" s="52"/>
      <c r="K132" s="52"/>
      <c r="L132" s="52"/>
    </row>
    <row r="133" spans="2:12" s="4" customFormat="1" x14ac:dyDescent="0.7">
      <c r="B133" s="5"/>
      <c r="F133" s="52"/>
      <c r="G133" s="52"/>
      <c r="H133" s="52"/>
      <c r="I133" s="52"/>
      <c r="J133" s="52"/>
      <c r="K133" s="52"/>
      <c r="L133" s="52"/>
    </row>
    <row r="134" spans="2:12" s="4" customFormat="1" x14ac:dyDescent="0.7">
      <c r="B134" s="5"/>
      <c r="F134" s="52"/>
      <c r="G134" s="52"/>
      <c r="H134" s="52"/>
      <c r="I134" s="52"/>
      <c r="J134" s="52"/>
      <c r="K134" s="52"/>
      <c r="L134" s="52"/>
    </row>
    <row r="135" spans="2:12" s="4" customFormat="1" x14ac:dyDescent="0.7">
      <c r="B135" s="5"/>
      <c r="F135" s="52"/>
      <c r="G135" s="52"/>
      <c r="H135" s="52"/>
      <c r="I135" s="52"/>
      <c r="J135" s="52"/>
      <c r="K135" s="52"/>
      <c r="L135" s="52"/>
    </row>
    <row r="136" spans="2:12" s="4" customFormat="1" x14ac:dyDescent="0.7">
      <c r="B136" s="5"/>
      <c r="F136" s="52"/>
      <c r="G136" s="52"/>
      <c r="H136" s="52"/>
      <c r="I136" s="52"/>
      <c r="J136" s="52"/>
      <c r="K136" s="52"/>
      <c r="L136" s="52"/>
    </row>
    <row r="137" spans="2:12" s="4" customFormat="1" x14ac:dyDescent="0.7">
      <c r="B137" s="5"/>
      <c r="F137" s="52"/>
      <c r="G137" s="52"/>
      <c r="H137" s="52"/>
      <c r="I137" s="52"/>
      <c r="J137" s="52"/>
      <c r="K137" s="52"/>
      <c r="L137" s="52"/>
    </row>
    <row r="138" spans="2:12" s="4" customFormat="1" x14ac:dyDescent="0.7">
      <c r="B138" s="5"/>
      <c r="F138" s="52"/>
      <c r="G138" s="52"/>
      <c r="H138" s="52"/>
      <c r="I138" s="52"/>
      <c r="J138" s="52"/>
      <c r="K138" s="52"/>
      <c r="L138" s="52"/>
    </row>
    <row r="139" spans="2:12" s="4" customFormat="1" x14ac:dyDescent="0.7">
      <c r="B139" s="5"/>
      <c r="F139" s="52"/>
      <c r="G139" s="52"/>
      <c r="H139" s="52"/>
      <c r="I139" s="52"/>
      <c r="J139" s="52"/>
      <c r="K139" s="52"/>
      <c r="L139" s="52"/>
    </row>
    <row r="140" spans="2:12" s="4" customFormat="1" x14ac:dyDescent="0.7">
      <c r="B140" s="5"/>
      <c r="F140" s="52"/>
      <c r="G140" s="52"/>
      <c r="H140" s="52"/>
      <c r="I140" s="52"/>
      <c r="J140" s="52"/>
      <c r="K140" s="52"/>
      <c r="L140" s="52"/>
    </row>
    <row r="141" spans="2:12" s="4" customFormat="1" x14ac:dyDescent="0.7">
      <c r="B141" s="5"/>
      <c r="F141" s="52"/>
      <c r="G141" s="52"/>
      <c r="H141" s="52"/>
      <c r="I141" s="52"/>
      <c r="J141" s="52"/>
      <c r="K141" s="52"/>
      <c r="L141" s="52"/>
    </row>
    <row r="142" spans="2:12" s="4" customFormat="1" x14ac:dyDescent="0.7">
      <c r="B142" s="5"/>
      <c r="F142" s="52"/>
      <c r="G142" s="52"/>
      <c r="H142" s="52"/>
      <c r="I142" s="52"/>
      <c r="J142" s="52"/>
      <c r="K142" s="52"/>
      <c r="L142" s="52"/>
    </row>
    <row r="143" spans="2:12" s="4" customFormat="1" x14ac:dyDescent="0.7">
      <c r="B143" s="5"/>
      <c r="F143" s="52"/>
      <c r="G143" s="52"/>
      <c r="H143" s="52"/>
      <c r="I143" s="52"/>
      <c r="J143" s="52"/>
      <c r="K143" s="52"/>
      <c r="L143" s="52"/>
    </row>
    <row r="144" spans="2:12" s="4" customFormat="1" x14ac:dyDescent="0.7">
      <c r="B144" s="5"/>
      <c r="F144" s="52"/>
      <c r="G144" s="52"/>
      <c r="H144" s="52"/>
      <c r="I144" s="52"/>
      <c r="J144" s="52"/>
      <c r="K144" s="52"/>
      <c r="L144" s="52"/>
    </row>
    <row r="145" spans="2:12" s="4" customFormat="1" x14ac:dyDescent="0.7">
      <c r="B145" s="5"/>
      <c r="F145" s="52"/>
      <c r="G145" s="52"/>
      <c r="H145" s="52"/>
      <c r="I145" s="52"/>
      <c r="J145" s="52"/>
      <c r="K145" s="52"/>
      <c r="L145" s="52"/>
    </row>
    <row r="146" spans="2:12" s="4" customFormat="1" x14ac:dyDescent="0.7">
      <c r="B146" s="5"/>
      <c r="F146" s="52"/>
      <c r="G146" s="52"/>
      <c r="H146" s="52"/>
      <c r="I146" s="52"/>
      <c r="J146" s="52"/>
      <c r="K146" s="52"/>
      <c r="L146" s="52"/>
    </row>
    <row r="147" spans="2:12" s="4" customFormat="1" x14ac:dyDescent="0.7">
      <c r="B147" s="5"/>
      <c r="F147" s="52"/>
      <c r="G147" s="52"/>
      <c r="H147" s="52"/>
      <c r="I147" s="52"/>
      <c r="J147" s="52"/>
      <c r="K147" s="52"/>
      <c r="L147" s="52"/>
    </row>
    <row r="148" spans="2:12" s="4" customFormat="1" x14ac:dyDescent="0.7">
      <c r="B148" s="5"/>
      <c r="F148" s="52"/>
      <c r="G148" s="52"/>
      <c r="H148" s="52"/>
      <c r="I148" s="52"/>
      <c r="J148" s="52"/>
      <c r="K148" s="52"/>
      <c r="L148" s="52"/>
    </row>
    <row r="149" spans="2:12" s="4" customFormat="1" x14ac:dyDescent="0.7">
      <c r="B149" s="5"/>
      <c r="F149" s="52"/>
      <c r="G149" s="52"/>
      <c r="H149" s="52"/>
      <c r="I149" s="52"/>
      <c r="J149" s="52"/>
      <c r="K149" s="52"/>
      <c r="L149" s="52"/>
    </row>
    <row r="150" spans="2:12" s="4" customFormat="1" x14ac:dyDescent="0.7">
      <c r="B150" s="5"/>
      <c r="F150" s="52"/>
      <c r="G150" s="52"/>
      <c r="H150" s="52"/>
      <c r="I150" s="52"/>
      <c r="J150" s="52"/>
      <c r="K150" s="52"/>
      <c r="L150" s="52"/>
    </row>
    <row r="151" spans="2:12" s="4" customFormat="1" x14ac:dyDescent="0.7">
      <c r="B151" s="5"/>
      <c r="F151" s="52"/>
      <c r="G151" s="52"/>
      <c r="H151" s="52"/>
      <c r="I151" s="52"/>
      <c r="J151" s="52"/>
      <c r="K151" s="52"/>
      <c r="L151" s="52"/>
    </row>
    <row r="152" spans="2:12" s="4" customFormat="1" x14ac:dyDescent="0.7">
      <c r="B152" s="5"/>
      <c r="F152" s="52"/>
      <c r="G152" s="52"/>
      <c r="H152" s="52"/>
      <c r="I152" s="52"/>
      <c r="J152" s="52"/>
      <c r="K152" s="52"/>
      <c r="L152" s="52"/>
    </row>
    <row r="153" spans="2:12" s="4" customFormat="1" x14ac:dyDescent="0.7">
      <c r="B153" s="5"/>
      <c r="F153" s="52"/>
      <c r="G153" s="52"/>
      <c r="H153" s="52"/>
      <c r="I153" s="52"/>
      <c r="J153" s="52"/>
      <c r="K153" s="52"/>
      <c r="L153" s="52"/>
    </row>
    <row r="154" spans="2:12" s="4" customFormat="1" x14ac:dyDescent="0.7">
      <c r="B154" s="5"/>
      <c r="F154" s="52"/>
      <c r="G154" s="52"/>
      <c r="H154" s="52"/>
      <c r="I154" s="52"/>
      <c r="J154" s="52"/>
      <c r="K154" s="52"/>
      <c r="L154" s="52"/>
    </row>
    <row r="155" spans="2:12" s="4" customFormat="1" x14ac:dyDescent="0.7">
      <c r="B155" s="5"/>
      <c r="F155" s="52"/>
      <c r="G155" s="52"/>
      <c r="H155" s="52"/>
      <c r="I155" s="52"/>
      <c r="J155" s="52"/>
      <c r="K155" s="52"/>
      <c r="L155" s="52"/>
    </row>
    <row r="156" spans="2:12" s="4" customFormat="1" x14ac:dyDescent="0.7">
      <c r="B156" s="5"/>
      <c r="F156" s="52"/>
      <c r="G156" s="52"/>
      <c r="H156" s="52"/>
      <c r="I156" s="52"/>
      <c r="J156" s="52"/>
      <c r="K156" s="52"/>
      <c r="L156" s="52"/>
    </row>
    <row r="157" spans="2:12" s="4" customFormat="1" x14ac:dyDescent="0.7">
      <c r="B157" s="5"/>
      <c r="F157" s="52"/>
      <c r="G157" s="52"/>
      <c r="H157" s="52"/>
      <c r="I157" s="52"/>
      <c r="J157" s="52"/>
      <c r="K157" s="52"/>
      <c r="L157" s="52"/>
    </row>
    <row r="158" spans="2:12" s="4" customFormat="1" x14ac:dyDescent="0.7">
      <c r="B158" s="5"/>
      <c r="F158" s="52"/>
      <c r="G158" s="52"/>
      <c r="H158" s="52"/>
      <c r="I158" s="52"/>
      <c r="J158" s="52"/>
      <c r="K158" s="52"/>
      <c r="L158" s="52"/>
    </row>
    <row r="159" spans="2:12" s="4" customFormat="1" x14ac:dyDescent="0.7">
      <c r="B159" s="5"/>
      <c r="F159" s="52"/>
      <c r="G159" s="52"/>
      <c r="H159" s="52"/>
      <c r="I159" s="52"/>
      <c r="J159" s="52"/>
      <c r="K159" s="52"/>
      <c r="L159" s="52"/>
    </row>
    <row r="160" spans="2:12" s="4" customFormat="1" x14ac:dyDescent="0.7">
      <c r="B160" s="5"/>
      <c r="F160" s="52"/>
      <c r="G160" s="52"/>
      <c r="H160" s="52"/>
      <c r="I160" s="52"/>
      <c r="J160" s="52"/>
      <c r="K160" s="52"/>
      <c r="L160" s="52"/>
    </row>
    <row r="161" spans="2:12" s="4" customFormat="1" x14ac:dyDescent="0.7">
      <c r="B161" s="5"/>
      <c r="F161" s="52"/>
      <c r="G161" s="52"/>
      <c r="H161" s="52"/>
      <c r="I161" s="52"/>
      <c r="J161" s="52"/>
      <c r="K161" s="52"/>
      <c r="L161" s="52"/>
    </row>
    <row r="162" spans="2:12" s="4" customFormat="1" x14ac:dyDescent="0.7">
      <c r="B162" s="5"/>
      <c r="F162" s="52"/>
      <c r="G162" s="52"/>
      <c r="H162" s="52"/>
      <c r="I162" s="52"/>
      <c r="J162" s="52"/>
      <c r="K162" s="52"/>
      <c r="L162" s="52"/>
    </row>
    <row r="163" spans="2:12" s="4" customFormat="1" x14ac:dyDescent="0.7">
      <c r="B163" s="5"/>
      <c r="F163" s="52"/>
      <c r="G163" s="52"/>
      <c r="H163" s="52"/>
      <c r="I163" s="52"/>
      <c r="J163" s="52"/>
      <c r="K163" s="52"/>
      <c r="L163" s="52"/>
    </row>
    <row r="164" spans="2:12" s="4" customFormat="1" x14ac:dyDescent="0.7">
      <c r="B164" s="5"/>
      <c r="F164" s="52"/>
      <c r="G164" s="52"/>
      <c r="H164" s="52"/>
      <c r="I164" s="52"/>
      <c r="J164" s="52"/>
      <c r="K164" s="52"/>
      <c r="L164" s="52"/>
    </row>
    <row r="165" spans="2:12" s="4" customFormat="1" x14ac:dyDescent="0.7">
      <c r="B165" s="5"/>
      <c r="F165" s="52"/>
      <c r="G165" s="52"/>
      <c r="H165" s="52"/>
      <c r="I165" s="52"/>
      <c r="J165" s="52"/>
      <c r="K165" s="52"/>
      <c r="L165" s="52"/>
    </row>
    <row r="166" spans="2:12" s="4" customFormat="1" x14ac:dyDescent="0.7">
      <c r="B166" s="5"/>
      <c r="F166" s="52"/>
      <c r="G166" s="52"/>
      <c r="H166" s="52"/>
      <c r="I166" s="52"/>
      <c r="J166" s="52"/>
      <c r="K166" s="52"/>
      <c r="L166" s="52"/>
    </row>
    <row r="167" spans="2:12" s="4" customFormat="1" x14ac:dyDescent="0.7">
      <c r="B167" s="5"/>
      <c r="F167" s="52"/>
      <c r="G167" s="52"/>
      <c r="H167" s="52"/>
      <c r="I167" s="52"/>
      <c r="J167" s="52"/>
      <c r="K167" s="52"/>
      <c r="L167" s="52"/>
    </row>
    <row r="168" spans="2:12" s="4" customFormat="1" x14ac:dyDescent="0.7">
      <c r="B168" s="5"/>
      <c r="F168" s="52"/>
      <c r="G168" s="52"/>
      <c r="H168" s="52"/>
      <c r="I168" s="52"/>
      <c r="J168" s="52"/>
      <c r="K168" s="52"/>
      <c r="L168" s="52"/>
    </row>
    <row r="169" spans="2:12" s="4" customFormat="1" x14ac:dyDescent="0.7">
      <c r="B169" s="5"/>
      <c r="F169" s="52"/>
      <c r="G169" s="52"/>
      <c r="H169" s="52"/>
      <c r="I169" s="52"/>
      <c r="J169" s="52"/>
      <c r="K169" s="52"/>
      <c r="L169" s="52"/>
    </row>
    <row r="170" spans="2:12" s="4" customFormat="1" x14ac:dyDescent="0.7">
      <c r="B170" s="5"/>
      <c r="F170" s="52"/>
      <c r="G170" s="52"/>
      <c r="H170" s="52"/>
      <c r="I170" s="52"/>
      <c r="J170" s="52"/>
      <c r="K170" s="52"/>
      <c r="L170" s="52"/>
    </row>
    <row r="171" spans="2:12" s="4" customFormat="1" x14ac:dyDescent="0.7">
      <c r="B171" s="5"/>
      <c r="F171" s="52"/>
      <c r="G171" s="52"/>
      <c r="H171" s="52"/>
      <c r="I171" s="52"/>
      <c r="J171" s="52"/>
      <c r="K171" s="52"/>
      <c r="L171" s="52"/>
    </row>
    <row r="172" spans="2:12" s="4" customFormat="1" x14ac:dyDescent="0.7">
      <c r="B172" s="5"/>
      <c r="F172" s="52"/>
      <c r="G172" s="52"/>
      <c r="H172" s="52"/>
      <c r="I172" s="52"/>
      <c r="J172" s="52"/>
      <c r="K172" s="52"/>
      <c r="L172" s="52"/>
    </row>
    <row r="173" spans="2:12" s="4" customFormat="1" x14ac:dyDescent="0.7">
      <c r="B173" s="5"/>
      <c r="F173" s="52"/>
      <c r="G173" s="52"/>
      <c r="H173" s="52"/>
      <c r="I173" s="52"/>
      <c r="J173" s="52"/>
      <c r="K173" s="52"/>
      <c r="L173" s="52"/>
    </row>
    <row r="174" spans="2:12" s="4" customFormat="1" x14ac:dyDescent="0.7">
      <c r="B174" s="5"/>
      <c r="F174" s="52"/>
      <c r="G174" s="52"/>
      <c r="H174" s="52"/>
      <c r="I174" s="52"/>
      <c r="J174" s="52"/>
      <c r="K174" s="52"/>
      <c r="L174" s="52"/>
    </row>
    <row r="175" spans="2:12" s="4" customFormat="1" x14ac:dyDescent="0.7">
      <c r="B175" s="5"/>
      <c r="F175" s="52"/>
      <c r="G175" s="52"/>
      <c r="H175" s="52"/>
      <c r="I175" s="52"/>
      <c r="J175" s="52"/>
      <c r="K175" s="52"/>
      <c r="L175" s="52"/>
    </row>
    <row r="176" spans="2:12" s="4" customFormat="1" x14ac:dyDescent="0.7">
      <c r="B176" s="5"/>
      <c r="F176" s="52"/>
      <c r="G176" s="52"/>
      <c r="H176" s="52"/>
      <c r="I176" s="52"/>
      <c r="J176" s="52"/>
      <c r="K176" s="52"/>
      <c r="L176" s="52"/>
    </row>
    <row r="177" spans="2:12" s="4" customFormat="1" x14ac:dyDescent="0.7">
      <c r="B177" s="5"/>
      <c r="F177" s="52"/>
      <c r="G177" s="52"/>
      <c r="H177" s="52"/>
      <c r="I177" s="52"/>
      <c r="J177" s="52"/>
      <c r="K177" s="52"/>
      <c r="L177" s="52"/>
    </row>
    <row r="178" spans="2:12" s="4" customFormat="1" x14ac:dyDescent="0.7">
      <c r="B178" s="5"/>
      <c r="F178" s="52"/>
      <c r="G178" s="52"/>
      <c r="H178" s="52"/>
      <c r="I178" s="52"/>
      <c r="J178" s="52"/>
      <c r="K178" s="52"/>
      <c r="L178" s="52"/>
    </row>
    <row r="179" spans="2:12" s="4" customFormat="1" x14ac:dyDescent="0.7">
      <c r="B179" s="5"/>
      <c r="F179" s="52"/>
      <c r="G179" s="52"/>
      <c r="H179" s="52"/>
      <c r="I179" s="52"/>
      <c r="J179" s="52"/>
      <c r="K179" s="52"/>
      <c r="L179" s="52"/>
    </row>
    <row r="180" spans="2:12" s="4" customFormat="1" x14ac:dyDescent="0.7">
      <c r="B180" s="5"/>
      <c r="F180" s="52"/>
      <c r="G180" s="52"/>
      <c r="H180" s="52"/>
      <c r="I180" s="52"/>
      <c r="J180" s="52"/>
      <c r="K180" s="52"/>
      <c r="L180" s="52"/>
    </row>
    <row r="181" spans="2:12" s="4" customFormat="1" x14ac:dyDescent="0.7">
      <c r="B181" s="5"/>
      <c r="F181" s="52"/>
      <c r="G181" s="52"/>
      <c r="H181" s="52"/>
      <c r="I181" s="52"/>
      <c r="J181" s="52"/>
      <c r="K181" s="52"/>
      <c r="L181" s="52"/>
    </row>
    <row r="182" spans="2:12" s="4" customFormat="1" x14ac:dyDescent="0.7">
      <c r="B182" s="5"/>
      <c r="F182" s="52"/>
      <c r="G182" s="52"/>
      <c r="H182" s="52"/>
      <c r="I182" s="52"/>
      <c r="J182" s="52"/>
      <c r="K182" s="52"/>
      <c r="L182" s="52"/>
    </row>
    <row r="183" spans="2:12" s="4" customFormat="1" x14ac:dyDescent="0.7">
      <c r="B183" s="5"/>
      <c r="F183" s="52"/>
      <c r="G183" s="52"/>
      <c r="H183" s="52"/>
      <c r="I183" s="52"/>
      <c r="J183" s="52"/>
      <c r="K183" s="52"/>
      <c r="L183" s="52"/>
    </row>
    <row r="184" spans="2:12" s="4" customFormat="1" x14ac:dyDescent="0.7">
      <c r="B184" s="5"/>
      <c r="F184" s="52"/>
      <c r="G184" s="52"/>
      <c r="H184" s="52"/>
      <c r="I184" s="52"/>
      <c r="J184" s="52"/>
      <c r="K184" s="52"/>
      <c r="L184" s="52"/>
    </row>
    <row r="185" spans="2:12" s="4" customFormat="1" x14ac:dyDescent="0.7">
      <c r="B185" s="5"/>
      <c r="F185" s="52"/>
      <c r="G185" s="52"/>
      <c r="H185" s="52"/>
      <c r="I185" s="52"/>
      <c r="J185" s="52"/>
      <c r="K185" s="52"/>
      <c r="L185" s="52"/>
    </row>
    <row r="186" spans="2:12" s="4" customFormat="1" x14ac:dyDescent="0.7">
      <c r="B186" s="5"/>
      <c r="F186" s="52"/>
      <c r="G186" s="52"/>
      <c r="H186" s="52"/>
      <c r="I186" s="52"/>
      <c r="J186" s="52"/>
      <c r="K186" s="52"/>
      <c r="L186" s="52"/>
    </row>
    <row r="187" spans="2:12" s="4" customFormat="1" x14ac:dyDescent="0.7">
      <c r="B187" s="5"/>
      <c r="F187" s="52"/>
      <c r="G187" s="52"/>
      <c r="H187" s="52"/>
      <c r="I187" s="52"/>
      <c r="J187" s="52"/>
      <c r="K187" s="52"/>
      <c r="L187" s="52"/>
    </row>
    <row r="188" spans="2:12" s="4" customFormat="1" x14ac:dyDescent="0.7">
      <c r="B188" s="5"/>
      <c r="F188" s="52"/>
      <c r="G188" s="52"/>
      <c r="H188" s="52"/>
      <c r="I188" s="52"/>
      <c r="J188" s="52"/>
      <c r="K188" s="52"/>
      <c r="L188" s="52"/>
    </row>
    <row r="189" spans="2:12" s="4" customFormat="1" x14ac:dyDescent="0.7">
      <c r="B189" s="5"/>
      <c r="F189" s="52"/>
      <c r="G189" s="52"/>
      <c r="H189" s="52"/>
      <c r="I189" s="52"/>
      <c r="J189" s="52"/>
      <c r="K189" s="52"/>
      <c r="L189" s="52"/>
    </row>
    <row r="190" spans="2:12" s="4" customFormat="1" x14ac:dyDescent="0.7">
      <c r="B190" s="5"/>
      <c r="F190" s="52"/>
      <c r="G190" s="52"/>
      <c r="H190" s="52"/>
      <c r="I190" s="52"/>
      <c r="J190" s="52"/>
      <c r="K190" s="52"/>
      <c r="L190" s="52"/>
    </row>
    <row r="191" spans="2:12" s="4" customFormat="1" x14ac:dyDescent="0.7">
      <c r="B191" s="5"/>
      <c r="F191" s="52"/>
      <c r="G191" s="52"/>
      <c r="H191" s="52"/>
      <c r="I191" s="52"/>
      <c r="J191" s="52"/>
      <c r="K191" s="52"/>
      <c r="L191" s="52"/>
    </row>
    <row r="192" spans="2:12" s="4" customFormat="1" x14ac:dyDescent="0.7">
      <c r="B192" s="5"/>
      <c r="F192" s="52"/>
      <c r="G192" s="52"/>
      <c r="H192" s="52"/>
      <c r="I192" s="52"/>
      <c r="J192" s="52"/>
      <c r="K192" s="52"/>
      <c r="L192" s="52"/>
    </row>
    <row r="193" spans="2:12" s="4" customFormat="1" x14ac:dyDescent="0.7">
      <c r="B193" s="5"/>
      <c r="F193" s="52"/>
      <c r="G193" s="52"/>
      <c r="H193" s="52"/>
      <c r="I193" s="52"/>
      <c r="J193" s="52"/>
      <c r="K193" s="52"/>
      <c r="L193" s="52"/>
    </row>
    <row r="194" spans="2:12" s="4" customFormat="1" x14ac:dyDescent="0.7">
      <c r="B194" s="5"/>
      <c r="F194" s="52"/>
      <c r="G194" s="52"/>
      <c r="H194" s="52"/>
      <c r="I194" s="52"/>
      <c r="J194" s="52"/>
      <c r="K194" s="52"/>
      <c r="L194" s="52"/>
    </row>
    <row r="195" spans="2:12" s="4" customFormat="1" x14ac:dyDescent="0.7">
      <c r="B195" s="5"/>
      <c r="F195" s="52"/>
      <c r="G195" s="52"/>
      <c r="H195" s="52"/>
      <c r="I195" s="52"/>
      <c r="J195" s="52"/>
      <c r="K195" s="52"/>
      <c r="L195" s="52"/>
    </row>
    <row r="196" spans="2:12" s="4" customFormat="1" x14ac:dyDescent="0.7">
      <c r="B196" s="5"/>
      <c r="F196" s="52"/>
      <c r="G196" s="52"/>
      <c r="H196" s="52"/>
      <c r="I196" s="52"/>
      <c r="J196" s="52"/>
      <c r="K196" s="52"/>
      <c r="L196" s="52"/>
    </row>
    <row r="197" spans="2:12" s="4" customFormat="1" x14ac:dyDescent="0.7">
      <c r="B197" s="5"/>
      <c r="F197" s="52"/>
      <c r="G197" s="52"/>
      <c r="H197" s="52"/>
      <c r="I197" s="52"/>
      <c r="J197" s="52"/>
      <c r="K197" s="52"/>
      <c r="L197" s="52"/>
    </row>
    <row r="198" spans="2:12" s="4" customFormat="1" x14ac:dyDescent="0.7">
      <c r="B198" s="5"/>
      <c r="F198" s="52"/>
      <c r="G198" s="52"/>
      <c r="H198" s="52"/>
      <c r="I198" s="52"/>
      <c r="J198" s="52"/>
      <c r="K198" s="52"/>
      <c r="L198" s="52"/>
    </row>
    <row r="199" spans="2:12" s="4" customFormat="1" x14ac:dyDescent="0.7">
      <c r="B199" s="5"/>
      <c r="F199" s="52"/>
      <c r="G199" s="52"/>
      <c r="H199" s="52"/>
      <c r="I199" s="52"/>
      <c r="J199" s="52"/>
      <c r="K199" s="52"/>
      <c r="L199" s="52"/>
    </row>
    <row r="200" spans="2:12" s="4" customFormat="1" x14ac:dyDescent="0.7">
      <c r="B200" s="5"/>
      <c r="F200" s="52"/>
      <c r="G200" s="52"/>
      <c r="H200" s="52"/>
      <c r="I200" s="52"/>
      <c r="J200" s="52"/>
      <c r="K200" s="52"/>
      <c r="L200" s="52"/>
    </row>
    <row r="201" spans="2:12" s="4" customFormat="1" x14ac:dyDescent="0.7">
      <c r="B201" s="5"/>
      <c r="F201" s="52"/>
      <c r="G201" s="52"/>
      <c r="H201" s="52"/>
      <c r="I201" s="52"/>
      <c r="J201" s="52"/>
      <c r="K201" s="52"/>
      <c r="L201" s="52"/>
    </row>
    <row r="202" spans="2:12" s="4" customFormat="1" x14ac:dyDescent="0.7">
      <c r="B202" s="5"/>
      <c r="F202" s="52"/>
      <c r="G202" s="52"/>
      <c r="H202" s="52"/>
      <c r="I202" s="52"/>
      <c r="J202" s="52"/>
      <c r="K202" s="52"/>
      <c r="L202" s="52"/>
    </row>
    <row r="203" spans="2:12" s="4" customFormat="1" x14ac:dyDescent="0.7">
      <c r="B203" s="5"/>
      <c r="F203" s="52"/>
      <c r="G203" s="52"/>
      <c r="H203" s="52"/>
      <c r="I203" s="52"/>
      <c r="J203" s="52"/>
      <c r="K203" s="52"/>
      <c r="L203" s="52"/>
    </row>
    <row r="204" spans="2:12" s="4" customFormat="1" x14ac:dyDescent="0.7">
      <c r="B204" s="5"/>
      <c r="F204" s="52"/>
      <c r="G204" s="52"/>
      <c r="H204" s="52"/>
      <c r="I204" s="52"/>
      <c r="J204" s="52"/>
      <c r="K204" s="52"/>
      <c r="L204" s="52"/>
    </row>
    <row r="205" spans="2:12" s="4" customFormat="1" x14ac:dyDescent="0.7">
      <c r="B205" s="5"/>
      <c r="F205" s="52"/>
      <c r="G205" s="52"/>
      <c r="H205" s="52"/>
      <c r="I205" s="52"/>
      <c r="J205" s="52"/>
      <c r="K205" s="52"/>
      <c r="L205" s="52"/>
    </row>
    <row r="206" spans="2:12" s="4" customFormat="1" x14ac:dyDescent="0.7">
      <c r="B206" s="5"/>
      <c r="F206" s="52"/>
      <c r="G206" s="52"/>
      <c r="H206" s="52"/>
      <c r="I206" s="52"/>
      <c r="J206" s="52"/>
      <c r="K206" s="52"/>
      <c r="L206" s="52"/>
    </row>
    <row r="207" spans="2:12" s="4" customFormat="1" x14ac:dyDescent="0.7">
      <c r="B207" s="5"/>
      <c r="F207" s="52"/>
      <c r="G207" s="52"/>
      <c r="H207" s="52"/>
      <c r="I207" s="52"/>
      <c r="J207" s="52"/>
      <c r="K207" s="52"/>
      <c r="L207" s="52"/>
    </row>
    <row r="208" spans="2:12" s="4" customFormat="1" x14ac:dyDescent="0.7">
      <c r="B208" s="5"/>
      <c r="F208" s="52"/>
      <c r="G208" s="52"/>
      <c r="H208" s="52"/>
      <c r="I208" s="52"/>
      <c r="J208" s="52"/>
      <c r="K208" s="52"/>
      <c r="L208" s="52"/>
    </row>
    <row r="209" spans="2:12" s="4" customFormat="1" x14ac:dyDescent="0.7">
      <c r="B209" s="5"/>
      <c r="F209" s="52"/>
      <c r="G209" s="52"/>
      <c r="H209" s="52"/>
      <c r="I209" s="52"/>
      <c r="J209" s="52"/>
      <c r="K209" s="52"/>
      <c r="L209" s="52"/>
    </row>
    <row r="210" spans="2:12" s="4" customFormat="1" x14ac:dyDescent="0.7">
      <c r="B210" s="5"/>
      <c r="F210" s="52"/>
      <c r="G210" s="52"/>
      <c r="H210" s="52"/>
      <c r="I210" s="52"/>
      <c r="J210" s="52"/>
      <c r="K210" s="52"/>
      <c r="L210" s="52"/>
    </row>
    <row r="211" spans="2:12" s="4" customFormat="1" x14ac:dyDescent="0.7">
      <c r="B211" s="5"/>
      <c r="F211" s="52"/>
      <c r="G211" s="52"/>
      <c r="H211" s="52"/>
      <c r="I211" s="52"/>
      <c r="J211" s="52"/>
      <c r="K211" s="52"/>
      <c r="L211" s="52"/>
    </row>
    <row r="212" spans="2:12" s="4" customFormat="1" x14ac:dyDescent="0.7">
      <c r="B212" s="5"/>
      <c r="F212" s="52"/>
      <c r="G212" s="52"/>
      <c r="H212" s="52"/>
      <c r="I212" s="52"/>
      <c r="J212" s="52"/>
      <c r="K212" s="52"/>
      <c r="L212" s="52"/>
    </row>
    <row r="213" spans="2:12" s="4" customFormat="1" x14ac:dyDescent="0.7">
      <c r="B213" s="5"/>
      <c r="F213" s="52"/>
      <c r="G213" s="52"/>
      <c r="H213" s="52"/>
      <c r="I213" s="52"/>
      <c r="J213" s="52"/>
      <c r="K213" s="52"/>
      <c r="L213" s="52"/>
    </row>
    <row r="214" spans="2:12" s="4" customFormat="1" x14ac:dyDescent="0.7">
      <c r="B214" s="5"/>
      <c r="F214" s="52"/>
      <c r="G214" s="52"/>
      <c r="H214" s="52"/>
      <c r="I214" s="52"/>
      <c r="J214" s="52"/>
      <c r="K214" s="52"/>
      <c r="L214" s="52"/>
    </row>
    <row r="215" spans="2:12" s="4" customFormat="1" x14ac:dyDescent="0.7">
      <c r="B215" s="5"/>
      <c r="F215" s="52"/>
      <c r="G215" s="52"/>
      <c r="H215" s="52"/>
      <c r="I215" s="52"/>
      <c r="J215" s="52"/>
      <c r="K215" s="52"/>
      <c r="L215" s="52"/>
    </row>
    <row r="216" spans="2:12" s="4" customFormat="1" x14ac:dyDescent="0.7">
      <c r="B216" s="5"/>
      <c r="F216" s="52"/>
      <c r="G216" s="52"/>
      <c r="H216" s="52"/>
      <c r="I216" s="52"/>
      <c r="J216" s="52"/>
      <c r="K216" s="52"/>
      <c r="L216" s="52"/>
    </row>
    <row r="217" spans="2:12" s="4" customFormat="1" x14ac:dyDescent="0.7">
      <c r="B217" s="5"/>
      <c r="F217" s="52"/>
      <c r="G217" s="52"/>
      <c r="H217" s="52"/>
      <c r="I217" s="52"/>
      <c r="J217" s="52"/>
      <c r="K217" s="52"/>
      <c r="L217" s="52"/>
    </row>
    <row r="218" spans="2:12" s="4" customFormat="1" x14ac:dyDescent="0.7">
      <c r="B218" s="5"/>
      <c r="F218" s="52"/>
      <c r="G218" s="52"/>
      <c r="H218" s="52"/>
      <c r="I218" s="52"/>
      <c r="J218" s="52"/>
      <c r="K218" s="52"/>
      <c r="L218" s="52"/>
    </row>
    <row r="219" spans="2:12" s="4" customFormat="1" x14ac:dyDescent="0.7">
      <c r="B219" s="5"/>
      <c r="F219" s="52"/>
      <c r="G219" s="52"/>
      <c r="H219" s="52"/>
      <c r="I219" s="52"/>
      <c r="J219" s="52"/>
      <c r="K219" s="52"/>
      <c r="L219" s="52"/>
    </row>
    <row r="220" spans="2:12" s="4" customFormat="1" x14ac:dyDescent="0.7">
      <c r="B220" s="5"/>
      <c r="F220" s="52"/>
      <c r="G220" s="52"/>
      <c r="H220" s="52"/>
      <c r="I220" s="52"/>
      <c r="J220" s="52"/>
      <c r="K220" s="52"/>
      <c r="L220" s="52"/>
    </row>
    <row r="221" spans="2:12" s="4" customFormat="1" x14ac:dyDescent="0.7">
      <c r="B221" s="5"/>
      <c r="F221" s="52"/>
      <c r="G221" s="52"/>
      <c r="H221" s="52"/>
      <c r="I221" s="52"/>
      <c r="J221" s="52"/>
      <c r="K221" s="52"/>
      <c r="L221" s="52"/>
    </row>
    <row r="222" spans="2:12" s="4" customFormat="1" x14ac:dyDescent="0.7">
      <c r="B222" s="5"/>
      <c r="F222" s="52"/>
      <c r="G222" s="52"/>
      <c r="H222" s="52"/>
      <c r="I222" s="52"/>
      <c r="J222" s="52"/>
      <c r="K222" s="52"/>
      <c r="L222" s="52"/>
    </row>
    <row r="223" spans="2:12" s="4" customFormat="1" x14ac:dyDescent="0.7">
      <c r="B223" s="5"/>
      <c r="F223" s="52"/>
      <c r="G223" s="52"/>
      <c r="H223" s="52"/>
      <c r="I223" s="52"/>
      <c r="J223" s="52"/>
      <c r="K223" s="52"/>
      <c r="L223" s="52"/>
    </row>
    <row r="224" spans="2:12" s="4" customFormat="1" x14ac:dyDescent="0.7">
      <c r="B224" s="5"/>
      <c r="F224" s="52"/>
      <c r="G224" s="52"/>
      <c r="H224" s="52"/>
      <c r="I224" s="52"/>
      <c r="J224" s="52"/>
      <c r="K224" s="52"/>
      <c r="L224" s="52"/>
    </row>
    <row r="225" spans="2:12" s="4" customFormat="1" x14ac:dyDescent="0.7">
      <c r="B225" s="5"/>
      <c r="F225" s="52"/>
      <c r="G225" s="52"/>
      <c r="H225" s="52"/>
      <c r="I225" s="52"/>
      <c r="J225" s="52"/>
      <c r="K225" s="52"/>
      <c r="L225" s="52"/>
    </row>
    <row r="226" spans="2:12" s="4" customFormat="1" x14ac:dyDescent="0.7">
      <c r="B226" s="5"/>
      <c r="F226" s="52"/>
      <c r="G226" s="52"/>
      <c r="H226" s="52"/>
      <c r="I226" s="52"/>
      <c r="J226" s="52"/>
      <c r="K226" s="52"/>
      <c r="L226" s="52"/>
    </row>
    <row r="227" spans="2:12" s="4" customFormat="1" x14ac:dyDescent="0.7">
      <c r="B227" s="5"/>
      <c r="F227" s="52"/>
      <c r="G227" s="52"/>
      <c r="H227" s="52"/>
      <c r="I227" s="52"/>
      <c r="J227" s="52"/>
      <c r="K227" s="52"/>
      <c r="L227" s="52"/>
    </row>
    <row r="228" spans="2:12" s="4" customFormat="1" x14ac:dyDescent="0.7">
      <c r="B228" s="5"/>
      <c r="F228" s="52"/>
      <c r="G228" s="52"/>
      <c r="H228" s="52"/>
      <c r="I228" s="52"/>
      <c r="J228" s="52"/>
      <c r="K228" s="52"/>
      <c r="L228" s="52"/>
    </row>
    <row r="229" spans="2:12" s="4" customFormat="1" x14ac:dyDescent="0.7">
      <c r="B229" s="5"/>
      <c r="F229" s="52"/>
      <c r="G229" s="52"/>
      <c r="H229" s="52"/>
      <c r="I229" s="52"/>
      <c r="J229" s="52"/>
      <c r="K229" s="52"/>
      <c r="L229" s="52"/>
    </row>
    <row r="230" spans="2:12" s="4" customFormat="1" x14ac:dyDescent="0.7">
      <c r="B230" s="5"/>
      <c r="F230" s="52"/>
      <c r="G230" s="52"/>
      <c r="H230" s="52"/>
      <c r="I230" s="52"/>
      <c r="J230" s="52"/>
      <c r="K230" s="52"/>
      <c r="L230" s="52"/>
    </row>
    <row r="231" spans="2:12" s="4" customFormat="1" x14ac:dyDescent="0.7">
      <c r="B231" s="5"/>
      <c r="F231" s="52"/>
      <c r="G231" s="52"/>
      <c r="H231" s="52"/>
      <c r="I231" s="52"/>
      <c r="J231" s="52"/>
      <c r="K231" s="52"/>
      <c r="L231" s="52"/>
    </row>
    <row r="232" spans="2:12" s="4" customFormat="1" x14ac:dyDescent="0.7">
      <c r="B232" s="5"/>
      <c r="F232" s="52"/>
      <c r="G232" s="52"/>
      <c r="H232" s="52"/>
      <c r="I232" s="52"/>
      <c r="J232" s="52"/>
      <c r="K232" s="52"/>
      <c r="L232" s="52"/>
    </row>
    <row r="233" spans="2:12" s="4" customFormat="1" x14ac:dyDescent="0.7">
      <c r="B233" s="5"/>
      <c r="F233" s="52"/>
      <c r="G233" s="52"/>
      <c r="H233" s="52"/>
      <c r="I233" s="52"/>
      <c r="J233" s="52"/>
      <c r="K233" s="52"/>
      <c r="L233" s="52"/>
    </row>
    <row r="234" spans="2:12" s="4" customFormat="1" x14ac:dyDescent="0.7">
      <c r="B234" s="5"/>
      <c r="F234" s="52"/>
      <c r="G234" s="52"/>
      <c r="H234" s="52"/>
      <c r="I234" s="52"/>
      <c r="J234" s="52"/>
      <c r="K234" s="52"/>
      <c r="L234" s="52"/>
    </row>
    <row r="235" spans="2:12" s="4" customFormat="1" x14ac:dyDescent="0.7">
      <c r="B235" s="5"/>
      <c r="F235" s="52"/>
      <c r="G235" s="52"/>
      <c r="H235" s="52"/>
      <c r="I235" s="52"/>
      <c r="J235" s="52"/>
      <c r="K235" s="52"/>
      <c r="L235" s="52"/>
    </row>
    <row r="236" spans="2:12" s="4" customFormat="1" x14ac:dyDescent="0.7">
      <c r="B236" s="5"/>
      <c r="F236" s="52"/>
      <c r="G236" s="52"/>
      <c r="H236" s="52"/>
      <c r="I236" s="52"/>
      <c r="J236" s="52"/>
      <c r="K236" s="52"/>
      <c r="L236" s="52"/>
    </row>
    <row r="237" spans="2:12" s="4" customFormat="1" x14ac:dyDescent="0.7">
      <c r="B237" s="5"/>
      <c r="F237" s="52"/>
      <c r="G237" s="52"/>
      <c r="H237" s="52"/>
      <c r="I237" s="52"/>
      <c r="J237" s="52"/>
      <c r="K237" s="52"/>
      <c r="L237" s="52"/>
    </row>
    <row r="238" spans="2:12" s="4" customFormat="1" x14ac:dyDescent="0.7">
      <c r="B238" s="5"/>
      <c r="F238" s="52"/>
      <c r="G238" s="52"/>
      <c r="H238" s="52"/>
      <c r="I238" s="52"/>
      <c r="J238" s="52"/>
      <c r="K238" s="52"/>
      <c r="L238" s="52"/>
    </row>
    <row r="239" spans="2:12" s="4" customFormat="1" x14ac:dyDescent="0.7">
      <c r="B239" s="5"/>
      <c r="F239" s="52"/>
      <c r="G239" s="52"/>
      <c r="H239" s="52"/>
      <c r="I239" s="52"/>
      <c r="J239" s="52"/>
      <c r="K239" s="52"/>
      <c r="L239" s="52"/>
    </row>
    <row r="240" spans="2:12" s="4" customFormat="1" x14ac:dyDescent="0.7">
      <c r="B240" s="5"/>
      <c r="F240" s="52"/>
      <c r="G240" s="52"/>
      <c r="H240" s="52"/>
      <c r="I240" s="52"/>
      <c r="J240" s="52"/>
      <c r="K240" s="52"/>
      <c r="L240" s="52"/>
    </row>
    <row r="241" spans="2:12" s="4" customFormat="1" x14ac:dyDescent="0.7">
      <c r="B241" s="5"/>
      <c r="F241" s="52"/>
      <c r="G241" s="52"/>
      <c r="H241" s="52"/>
      <c r="I241" s="52"/>
      <c r="J241" s="52"/>
      <c r="K241" s="52"/>
      <c r="L241" s="52"/>
    </row>
    <row r="242" spans="2:12" s="4" customFormat="1" x14ac:dyDescent="0.7">
      <c r="B242" s="5"/>
      <c r="F242" s="52"/>
      <c r="G242" s="52"/>
      <c r="H242" s="52"/>
      <c r="I242" s="52"/>
      <c r="J242" s="52"/>
      <c r="K242" s="52"/>
      <c r="L242" s="52"/>
    </row>
    <row r="243" spans="2:12" s="4" customFormat="1" x14ac:dyDescent="0.7">
      <c r="B243" s="5"/>
      <c r="F243" s="52"/>
      <c r="G243" s="52"/>
      <c r="H243" s="52"/>
      <c r="I243" s="52"/>
      <c r="J243" s="52"/>
      <c r="K243" s="52"/>
      <c r="L243" s="52"/>
    </row>
    <row r="244" spans="2:12" s="4" customFormat="1" x14ac:dyDescent="0.7">
      <c r="B244" s="5"/>
      <c r="F244" s="52"/>
      <c r="G244" s="52"/>
      <c r="H244" s="52"/>
      <c r="I244" s="52"/>
      <c r="J244" s="52"/>
      <c r="K244" s="52"/>
      <c r="L244" s="52"/>
    </row>
    <row r="245" spans="2:12" s="4" customFormat="1" x14ac:dyDescent="0.7">
      <c r="B245" s="5"/>
      <c r="F245" s="52"/>
      <c r="G245" s="52"/>
      <c r="H245" s="52"/>
      <c r="I245" s="52"/>
      <c r="J245" s="52"/>
      <c r="K245" s="52"/>
      <c r="L245" s="52"/>
    </row>
  </sheetData>
  <protectedRanges>
    <protectedRange sqref="M12:M47" name="Scoring_1"/>
    <protectedRange sqref="M5:M8" name="Assessment details_1"/>
  </protectedRanges>
  <mergeCells count="47">
    <mergeCell ref="J6:M6"/>
    <mergeCell ref="B2:M2"/>
    <mergeCell ref="B3:M3"/>
    <mergeCell ref="D54:F54"/>
    <mergeCell ref="D53:F53"/>
    <mergeCell ref="D52:F52"/>
    <mergeCell ref="D51:F51"/>
    <mergeCell ref="D50:F50"/>
    <mergeCell ref="B10:B11"/>
    <mergeCell ref="C36:C39"/>
    <mergeCell ref="D36:D39"/>
    <mergeCell ref="C40:C43"/>
    <mergeCell ref="D40:D43"/>
    <mergeCell ref="C44:C47"/>
    <mergeCell ref="D44:D47"/>
    <mergeCell ref="C20:C23"/>
    <mergeCell ref="C24:C27"/>
    <mergeCell ref="D24:D27"/>
    <mergeCell ref="C28:C31"/>
    <mergeCell ref="D28:D31"/>
    <mergeCell ref="C32:C35"/>
    <mergeCell ref="D32:D35"/>
    <mergeCell ref="B54:C54"/>
    <mergeCell ref="B12:B19"/>
    <mergeCell ref="C12:C15"/>
    <mergeCell ref="D12:D15"/>
    <mergeCell ref="D16:D19"/>
    <mergeCell ref="C16:C19"/>
    <mergeCell ref="B20:B27"/>
    <mergeCell ref="D20:D23"/>
    <mergeCell ref="B28:B35"/>
    <mergeCell ref="B36:B47"/>
    <mergeCell ref="B49:C49"/>
    <mergeCell ref="D49:E49"/>
    <mergeCell ref="B50:C53"/>
    <mergeCell ref="C10:E10"/>
    <mergeCell ref="H10:J10"/>
    <mergeCell ref="L10:M10"/>
    <mergeCell ref="H7:I7"/>
    <mergeCell ref="B5:C5"/>
    <mergeCell ref="D5:M5"/>
    <mergeCell ref="B6:C6"/>
    <mergeCell ref="B7:C7"/>
    <mergeCell ref="H6:I6"/>
    <mergeCell ref="D7:F7"/>
    <mergeCell ref="D6:F6"/>
    <mergeCell ref="J7:M7"/>
  </mergeCells>
  <conditionalFormatting sqref="H12:J47">
    <cfRule type="endsWith" dxfId="3" priority="1" operator="endsWith" text="X">
      <formula>RIGHT(H12,LEN("X"))="X"</formula>
    </cfRule>
    <cfRule type="endsWith" dxfId="2" priority="2" operator="endsWith" text="S">
      <formula>RIGHT(H12,LEN("S"))="S"</formula>
    </cfRule>
    <cfRule type="endsWith" dxfId="1" priority="3" operator="endsWith" text="Q">
      <formula>RIGHT(H12,LEN("Q"))="Q"</formula>
    </cfRule>
    <cfRule type="endsWith" dxfId="0" priority="4" operator="endsWith" text="C">
      <formula>RIGHT(H12,LEN("C"))="C"</formula>
    </cfRule>
  </conditionalFormatting>
  <dataValidations count="4">
    <dataValidation type="list" allowBlank="1" showInputMessage="1" showErrorMessage="1" sqref="F12:F47" xr:uid="{10780B09-4596-4765-B4E1-856CE2FF6A26}">
      <formula1>strength</formula1>
    </dataValidation>
    <dataValidation type="list" allowBlank="1" showInputMessage="1" showErrorMessage="1" sqref="H12:H47" xr:uid="{E08797CF-5E85-4C9D-9B4F-BCF0BA6699A7}">
      <formula1>consistency</formula1>
    </dataValidation>
    <dataValidation type="list" allowBlank="1" showInputMessage="1" showErrorMessage="1" sqref="I12:I47" xr:uid="{526915B3-863F-4894-AD91-6812293F39B5}">
      <formula1>quality</formula1>
    </dataValidation>
    <dataValidation type="list" allowBlank="1" showInputMessage="1" showErrorMessage="1" sqref="J12:J47" xr:uid="{C72D9690-22A5-4A47-AA61-0DA86E73B7D7}">
      <formula1>sustainable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39231-820F-4629-81E2-1473695A8DFE}">
  <sheetPr>
    <tabColor rgb="FFFFFF00"/>
  </sheetPr>
  <dimension ref="A1:GX243"/>
  <sheetViews>
    <sheetView zoomScale="70" zoomScaleNormal="55" workbookViewId="0">
      <pane xSplit="2" ySplit="1" topLeftCell="C2" activePane="bottomRight" state="frozen"/>
      <selection pane="topRight" activeCell="C1" sqref="C1"/>
      <selection pane="bottomLeft" activeCell="A2" sqref="A2"/>
      <selection pane="bottomRight" activeCell="C2" sqref="A2:XFD2"/>
    </sheetView>
  </sheetViews>
  <sheetFormatPr defaultColWidth="9.1328125" defaultRowHeight="23.25" x14ac:dyDescent="0.7"/>
  <cols>
    <col min="1" max="1" width="35.1328125" style="3" customWidth="1"/>
    <col min="2" max="2" width="110.86328125" customWidth="1"/>
    <col min="3" max="5" width="64.73046875" customWidth="1"/>
    <col min="6" max="206" width="9.1328125" style="6"/>
    <col min="207" max="16384" width="9.1328125" style="1"/>
  </cols>
  <sheetData>
    <row r="1" spans="1:206" s="7" customFormat="1" ht="45.75" customHeight="1" x14ac:dyDescent="0.85">
      <c r="A1" s="62" t="s">
        <v>0</v>
      </c>
      <c r="B1" s="62" t="s">
        <v>1</v>
      </c>
      <c r="C1" s="63" t="s">
        <v>172</v>
      </c>
      <c r="D1" s="63" t="s">
        <v>173</v>
      </c>
      <c r="E1" s="63" t="s">
        <v>174</v>
      </c>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row>
    <row r="2" spans="1:206" ht="58.5" customHeight="1" x14ac:dyDescent="0.7">
      <c r="A2" s="102" t="s">
        <v>19</v>
      </c>
      <c r="B2" s="93" t="s">
        <v>63</v>
      </c>
      <c r="C2" s="64" t="s">
        <v>100</v>
      </c>
      <c r="D2" s="65" t="s">
        <v>101</v>
      </c>
      <c r="E2" s="66" t="s">
        <v>102</v>
      </c>
    </row>
    <row r="3" spans="1:206" ht="58.5" customHeight="1" x14ac:dyDescent="0.7">
      <c r="A3" s="103"/>
      <c r="B3" s="94"/>
      <c r="C3" s="67" t="s">
        <v>103</v>
      </c>
      <c r="D3" s="68" t="s">
        <v>67</v>
      </c>
      <c r="E3" s="69" t="s">
        <v>68</v>
      </c>
    </row>
    <row r="4" spans="1:206" ht="58.5" customHeight="1" x14ac:dyDescent="0.7">
      <c r="A4" s="103"/>
      <c r="B4" s="94"/>
      <c r="C4" s="67" t="s">
        <v>104</v>
      </c>
      <c r="D4" s="68" t="s">
        <v>105</v>
      </c>
      <c r="E4" s="69" t="s">
        <v>106</v>
      </c>
    </row>
    <row r="5" spans="1:206" ht="58.5" customHeight="1" x14ac:dyDescent="0.7">
      <c r="A5" s="103"/>
      <c r="B5" s="94"/>
      <c r="C5" s="67" t="s">
        <v>69</v>
      </c>
      <c r="D5" s="68" t="s">
        <v>107</v>
      </c>
      <c r="E5" s="69" t="s">
        <v>108</v>
      </c>
    </row>
    <row r="6" spans="1:206" ht="58.5" customHeight="1" x14ac:dyDescent="0.7">
      <c r="A6" s="104"/>
      <c r="B6" s="95"/>
      <c r="C6" s="67" t="s">
        <v>109</v>
      </c>
      <c r="D6" s="68" t="s">
        <v>70</v>
      </c>
      <c r="E6" s="70" t="s">
        <v>110</v>
      </c>
    </row>
    <row r="7" spans="1:206" ht="58.5" customHeight="1" x14ac:dyDescent="0.7">
      <c r="A7" s="105" t="s">
        <v>20</v>
      </c>
      <c r="B7" s="93" t="s">
        <v>64</v>
      </c>
      <c r="C7" s="67" t="s">
        <v>111</v>
      </c>
      <c r="D7" s="68" t="s">
        <v>71</v>
      </c>
      <c r="E7" s="69" t="s">
        <v>112</v>
      </c>
    </row>
    <row r="8" spans="1:206" ht="58.5" customHeight="1" x14ac:dyDescent="0.7">
      <c r="A8" s="106"/>
      <c r="B8" s="94"/>
      <c r="C8" s="67" t="s">
        <v>113</v>
      </c>
      <c r="D8" s="68" t="s">
        <v>72</v>
      </c>
      <c r="E8" s="70" t="s">
        <v>114</v>
      </c>
    </row>
    <row r="9" spans="1:206" ht="58.5" customHeight="1" x14ac:dyDescent="0.7">
      <c r="A9" s="106"/>
      <c r="B9" s="94"/>
      <c r="C9" s="67" t="s">
        <v>115</v>
      </c>
      <c r="D9" s="68" t="s">
        <v>73</v>
      </c>
      <c r="E9" s="69" t="s">
        <v>116</v>
      </c>
    </row>
    <row r="10" spans="1:206" ht="58.5" customHeight="1" x14ac:dyDescent="0.7">
      <c r="A10" s="106"/>
      <c r="B10" s="94"/>
      <c r="C10" s="67" t="s">
        <v>117</v>
      </c>
      <c r="D10" s="68" t="s">
        <v>74</v>
      </c>
      <c r="E10" s="69" t="s">
        <v>75</v>
      </c>
    </row>
    <row r="11" spans="1:206" ht="58.5" customHeight="1" x14ac:dyDescent="0.7">
      <c r="A11" s="107"/>
      <c r="B11" s="95"/>
      <c r="C11" s="67" t="s">
        <v>76</v>
      </c>
      <c r="D11" s="68" t="s">
        <v>77</v>
      </c>
      <c r="E11" s="70" t="s">
        <v>118</v>
      </c>
    </row>
    <row r="12" spans="1:206" ht="58.5" customHeight="1" x14ac:dyDescent="0.7">
      <c r="A12" s="90" t="s">
        <v>21</v>
      </c>
      <c r="B12" s="93" t="s">
        <v>65</v>
      </c>
      <c r="C12" s="67" t="s">
        <v>119</v>
      </c>
      <c r="D12" s="68" t="s">
        <v>78</v>
      </c>
      <c r="E12" s="69" t="s">
        <v>120</v>
      </c>
    </row>
    <row r="13" spans="1:206" ht="58.5" customHeight="1" x14ac:dyDescent="0.7">
      <c r="A13" s="91"/>
      <c r="B13" s="94"/>
      <c r="C13" s="67" t="s">
        <v>79</v>
      </c>
      <c r="D13" s="68" t="s">
        <v>80</v>
      </c>
      <c r="E13" s="69" t="s">
        <v>81</v>
      </c>
    </row>
    <row r="14" spans="1:206" ht="58.5" customHeight="1" x14ac:dyDescent="0.7">
      <c r="A14" s="91"/>
      <c r="B14" s="94"/>
      <c r="C14" s="67" t="s">
        <v>121</v>
      </c>
      <c r="D14" s="68" t="s">
        <v>82</v>
      </c>
      <c r="E14" s="69" t="s">
        <v>83</v>
      </c>
    </row>
    <row r="15" spans="1:206" ht="58.5" customHeight="1" x14ac:dyDescent="0.7">
      <c r="A15" s="91"/>
      <c r="B15" s="94"/>
      <c r="C15" s="67" t="s">
        <v>84</v>
      </c>
      <c r="D15" s="68" t="s">
        <v>85</v>
      </c>
      <c r="E15" s="69" t="s">
        <v>122</v>
      </c>
    </row>
    <row r="16" spans="1:206" ht="58.5" customHeight="1" x14ac:dyDescent="0.7">
      <c r="A16" s="92"/>
      <c r="B16" s="95"/>
      <c r="C16" s="67" t="s">
        <v>86</v>
      </c>
      <c r="D16" s="68" t="s">
        <v>87</v>
      </c>
      <c r="E16" s="69" t="s">
        <v>123</v>
      </c>
    </row>
    <row r="17" spans="1:5" ht="58.5" customHeight="1" x14ac:dyDescent="0.7">
      <c r="A17" s="96" t="s">
        <v>22</v>
      </c>
      <c r="B17" s="99" t="s">
        <v>66</v>
      </c>
      <c r="C17" s="67" t="s">
        <v>124</v>
      </c>
      <c r="D17" s="68" t="s">
        <v>88</v>
      </c>
      <c r="E17" s="69" t="s">
        <v>89</v>
      </c>
    </row>
    <row r="18" spans="1:5" s="6" customFormat="1" ht="58.5" customHeight="1" x14ac:dyDescent="0.7">
      <c r="A18" s="97"/>
      <c r="B18" s="100"/>
      <c r="C18" s="67" t="s">
        <v>125</v>
      </c>
      <c r="D18" s="68" t="s">
        <v>90</v>
      </c>
      <c r="E18" s="69" t="s">
        <v>91</v>
      </c>
    </row>
    <row r="19" spans="1:5" s="6" customFormat="1" ht="58.5" customHeight="1" x14ac:dyDescent="0.7">
      <c r="A19" s="97"/>
      <c r="B19" s="100"/>
      <c r="C19" s="67" t="s">
        <v>126</v>
      </c>
      <c r="D19" s="68" t="s">
        <v>92</v>
      </c>
      <c r="E19" s="69" t="s">
        <v>93</v>
      </c>
    </row>
    <row r="20" spans="1:5" s="6" customFormat="1" ht="58.5" customHeight="1" x14ac:dyDescent="0.7">
      <c r="A20" s="97"/>
      <c r="B20" s="100"/>
      <c r="C20" s="67" t="s">
        <v>94</v>
      </c>
      <c r="D20" s="68" t="s">
        <v>95</v>
      </c>
      <c r="E20" s="69" t="s">
        <v>127</v>
      </c>
    </row>
    <row r="21" spans="1:5" s="6" customFormat="1" ht="58.5" customHeight="1" x14ac:dyDescent="0.7">
      <c r="A21" s="97"/>
      <c r="B21" s="100"/>
      <c r="C21" s="67" t="s">
        <v>96</v>
      </c>
      <c r="D21" s="68" t="s">
        <v>97</v>
      </c>
      <c r="E21" s="69" t="s">
        <v>128</v>
      </c>
    </row>
    <row r="22" spans="1:5" s="6" customFormat="1" ht="58.5" customHeight="1" x14ac:dyDescent="0.7">
      <c r="A22" s="98"/>
      <c r="B22" s="101"/>
      <c r="C22" s="71" t="s">
        <v>98</v>
      </c>
      <c r="D22" s="72" t="s">
        <v>99</v>
      </c>
      <c r="E22" s="73" t="s">
        <v>129</v>
      </c>
    </row>
    <row r="23" spans="1:5" s="6" customFormat="1" x14ac:dyDescent="0.7">
      <c r="A23" s="5"/>
      <c r="B23" s="4"/>
      <c r="C23" s="4"/>
      <c r="D23" s="4"/>
      <c r="E23" s="4"/>
    </row>
    <row r="24" spans="1:5" s="6" customFormat="1" x14ac:dyDescent="0.7">
      <c r="A24" s="5"/>
      <c r="B24" s="4"/>
      <c r="C24" s="4"/>
      <c r="D24" s="4"/>
      <c r="E24" s="4"/>
    </row>
    <row r="25" spans="1:5" s="6" customFormat="1" x14ac:dyDescent="0.7">
      <c r="A25" s="5"/>
      <c r="B25" s="4"/>
      <c r="C25" s="4"/>
      <c r="D25" s="4"/>
      <c r="E25" s="4"/>
    </row>
    <row r="26" spans="1:5" s="6" customFormat="1" x14ac:dyDescent="0.7">
      <c r="A26" s="5"/>
      <c r="B26" s="4"/>
      <c r="C26" s="4"/>
      <c r="D26" s="4"/>
      <c r="E26" s="4"/>
    </row>
    <row r="27" spans="1:5" s="6" customFormat="1" x14ac:dyDescent="0.7">
      <c r="A27" s="5"/>
      <c r="B27" s="4"/>
      <c r="C27" s="4"/>
      <c r="D27" s="4"/>
      <c r="E27" s="4"/>
    </row>
    <row r="28" spans="1:5" s="6" customFormat="1" x14ac:dyDescent="0.7">
      <c r="A28" s="5"/>
      <c r="B28" s="4"/>
      <c r="C28" s="4"/>
      <c r="D28" s="4"/>
      <c r="E28" s="4"/>
    </row>
    <row r="29" spans="1:5" s="6" customFormat="1" x14ac:dyDescent="0.7">
      <c r="A29" s="5"/>
      <c r="B29" s="4"/>
      <c r="C29" s="4"/>
      <c r="D29" s="4"/>
      <c r="E29" s="4"/>
    </row>
    <row r="30" spans="1:5" s="6" customFormat="1" x14ac:dyDescent="0.7">
      <c r="A30" s="5"/>
      <c r="B30" s="4"/>
      <c r="C30" s="4"/>
      <c r="D30" s="4"/>
      <c r="E30" s="4"/>
    </row>
    <row r="31" spans="1:5" s="6" customFormat="1" x14ac:dyDescent="0.7">
      <c r="A31" s="5"/>
      <c r="B31" s="4"/>
      <c r="C31" s="4"/>
      <c r="D31" s="4"/>
      <c r="E31" s="4"/>
    </row>
    <row r="32" spans="1:5" s="6" customFormat="1" x14ac:dyDescent="0.7">
      <c r="A32" s="5"/>
      <c r="B32" s="4"/>
      <c r="C32" s="4"/>
      <c r="D32" s="4"/>
      <c r="E32" s="4"/>
    </row>
    <row r="33" spans="1:5" s="6" customFormat="1" x14ac:dyDescent="0.7">
      <c r="A33" s="5"/>
      <c r="B33" s="4"/>
      <c r="C33" s="4"/>
      <c r="D33" s="4"/>
      <c r="E33" s="4"/>
    </row>
    <row r="34" spans="1:5" s="6" customFormat="1" x14ac:dyDescent="0.7">
      <c r="A34" s="5"/>
      <c r="B34" s="4"/>
      <c r="C34" s="4"/>
      <c r="D34" s="4"/>
      <c r="E34" s="4"/>
    </row>
    <row r="35" spans="1:5" s="6" customFormat="1" x14ac:dyDescent="0.7">
      <c r="A35" s="5"/>
      <c r="B35" s="4"/>
      <c r="C35" s="4"/>
      <c r="D35" s="4"/>
      <c r="E35" s="4"/>
    </row>
    <row r="36" spans="1:5" s="6" customFormat="1" x14ac:dyDescent="0.7">
      <c r="A36" s="5"/>
      <c r="B36" s="4"/>
      <c r="C36" s="4"/>
      <c r="D36" s="4"/>
      <c r="E36" s="4"/>
    </row>
    <row r="37" spans="1:5" s="6" customFormat="1" x14ac:dyDescent="0.7">
      <c r="A37" s="5"/>
      <c r="B37" s="4"/>
      <c r="C37" s="4"/>
      <c r="D37" s="4"/>
      <c r="E37" s="4"/>
    </row>
    <row r="38" spans="1:5" s="6" customFormat="1" x14ac:dyDescent="0.7">
      <c r="A38" s="5"/>
      <c r="B38" s="4"/>
      <c r="C38" s="4"/>
      <c r="D38" s="4"/>
      <c r="E38" s="4"/>
    </row>
    <row r="39" spans="1:5" s="6" customFormat="1" x14ac:dyDescent="0.7">
      <c r="A39" s="5"/>
      <c r="B39" s="4"/>
      <c r="C39" s="4"/>
      <c r="D39" s="4"/>
      <c r="E39" s="4"/>
    </row>
    <row r="40" spans="1:5" s="6" customFormat="1" x14ac:dyDescent="0.7">
      <c r="A40" s="5"/>
      <c r="B40" s="4"/>
      <c r="C40" s="4"/>
      <c r="D40" s="4"/>
      <c r="E40" s="4"/>
    </row>
    <row r="41" spans="1:5" s="6" customFormat="1" x14ac:dyDescent="0.7">
      <c r="A41" s="5"/>
      <c r="B41" s="4"/>
      <c r="C41" s="4"/>
      <c r="D41" s="4"/>
      <c r="E41" s="4"/>
    </row>
    <row r="42" spans="1:5" s="6" customFormat="1" x14ac:dyDescent="0.7">
      <c r="A42" s="5"/>
      <c r="B42" s="4"/>
      <c r="C42" s="4"/>
      <c r="D42" s="4"/>
      <c r="E42" s="4"/>
    </row>
    <row r="43" spans="1:5" s="6" customFormat="1" x14ac:dyDescent="0.7">
      <c r="A43" s="5"/>
      <c r="B43" s="4"/>
      <c r="C43" s="4"/>
      <c r="D43" s="4"/>
      <c r="E43" s="4"/>
    </row>
    <row r="44" spans="1:5" s="6" customFormat="1" x14ac:dyDescent="0.7">
      <c r="A44" s="5"/>
      <c r="B44" s="4"/>
      <c r="C44" s="4"/>
      <c r="D44" s="4"/>
      <c r="E44" s="4"/>
    </row>
    <row r="45" spans="1:5" s="6" customFormat="1" x14ac:dyDescent="0.7">
      <c r="A45" s="5"/>
      <c r="B45" s="4"/>
      <c r="C45" s="4"/>
      <c r="D45" s="4"/>
      <c r="E45" s="4"/>
    </row>
    <row r="46" spans="1:5" s="6" customFormat="1" x14ac:dyDescent="0.7">
      <c r="A46" s="5"/>
      <c r="B46" s="4"/>
      <c r="C46" s="4"/>
      <c r="D46" s="4"/>
      <c r="E46" s="4"/>
    </row>
    <row r="47" spans="1:5" s="6" customFormat="1" x14ac:dyDescent="0.7">
      <c r="A47" s="5"/>
      <c r="B47" s="4"/>
      <c r="C47" s="4"/>
      <c r="D47" s="4"/>
      <c r="E47" s="4"/>
    </row>
    <row r="48" spans="1:5" s="6" customFormat="1" x14ac:dyDescent="0.7">
      <c r="A48" s="5"/>
      <c r="B48" s="4"/>
      <c r="C48" s="4"/>
      <c r="D48" s="4"/>
      <c r="E48" s="4"/>
    </row>
    <row r="49" spans="1:5" s="6" customFormat="1" x14ac:dyDescent="0.7">
      <c r="A49" s="5"/>
      <c r="B49" s="4"/>
      <c r="C49" s="4"/>
      <c r="D49" s="4"/>
      <c r="E49" s="4"/>
    </row>
    <row r="50" spans="1:5" s="6" customFormat="1" x14ac:dyDescent="0.7">
      <c r="A50" s="5"/>
      <c r="B50" s="4"/>
      <c r="C50" s="4"/>
      <c r="D50" s="4"/>
      <c r="E50" s="4"/>
    </row>
    <row r="51" spans="1:5" s="6" customFormat="1" x14ac:dyDescent="0.7">
      <c r="A51" s="5"/>
      <c r="B51" s="4"/>
      <c r="C51" s="4"/>
      <c r="D51" s="4"/>
      <c r="E51" s="4"/>
    </row>
    <row r="52" spans="1:5" s="6" customFormat="1" x14ac:dyDescent="0.7">
      <c r="A52" s="5"/>
      <c r="B52" s="4"/>
      <c r="C52" s="4"/>
      <c r="D52" s="4"/>
      <c r="E52" s="4"/>
    </row>
    <row r="53" spans="1:5" s="6" customFormat="1" x14ac:dyDescent="0.7">
      <c r="A53" s="5"/>
      <c r="B53" s="4"/>
      <c r="C53" s="4"/>
      <c r="D53" s="4"/>
      <c r="E53" s="4"/>
    </row>
    <row r="54" spans="1:5" s="6" customFormat="1" x14ac:dyDescent="0.7">
      <c r="A54" s="5"/>
      <c r="B54" s="4"/>
      <c r="C54" s="4"/>
      <c r="D54" s="4"/>
      <c r="E54" s="4"/>
    </row>
    <row r="55" spans="1:5" s="6" customFormat="1" x14ac:dyDescent="0.7">
      <c r="A55" s="5"/>
      <c r="B55" s="4"/>
      <c r="C55" s="4"/>
      <c r="D55" s="4"/>
      <c r="E55" s="4"/>
    </row>
    <row r="56" spans="1:5" s="6" customFormat="1" x14ac:dyDescent="0.7">
      <c r="A56" s="5"/>
      <c r="B56" s="4"/>
      <c r="C56" s="4"/>
      <c r="D56" s="4"/>
      <c r="E56" s="4"/>
    </row>
    <row r="57" spans="1:5" s="6" customFormat="1" x14ac:dyDescent="0.7">
      <c r="A57" s="5"/>
      <c r="B57" s="4"/>
      <c r="C57" s="4"/>
      <c r="D57" s="4"/>
      <c r="E57" s="4"/>
    </row>
    <row r="58" spans="1:5" s="6" customFormat="1" x14ac:dyDescent="0.7">
      <c r="A58" s="5"/>
      <c r="B58" s="4"/>
      <c r="C58" s="4"/>
      <c r="D58" s="4"/>
      <c r="E58" s="4"/>
    </row>
    <row r="59" spans="1:5" s="6" customFormat="1" x14ac:dyDescent="0.7">
      <c r="A59" s="5"/>
      <c r="B59" s="4"/>
      <c r="C59" s="4"/>
      <c r="D59" s="4"/>
      <c r="E59" s="4"/>
    </row>
    <row r="60" spans="1:5" s="6" customFormat="1" x14ac:dyDescent="0.7">
      <c r="A60" s="5"/>
      <c r="B60" s="4"/>
      <c r="C60" s="4"/>
      <c r="D60" s="4"/>
      <c r="E60" s="4"/>
    </row>
    <row r="61" spans="1:5" s="6" customFormat="1" x14ac:dyDescent="0.7">
      <c r="A61" s="5"/>
      <c r="B61" s="4"/>
      <c r="C61" s="4"/>
      <c r="D61" s="4"/>
      <c r="E61" s="4"/>
    </row>
    <row r="62" spans="1:5" s="6" customFormat="1" x14ac:dyDescent="0.7">
      <c r="A62" s="5"/>
      <c r="B62" s="4"/>
      <c r="C62" s="4"/>
      <c r="D62" s="4"/>
      <c r="E62" s="4"/>
    </row>
    <row r="63" spans="1:5" s="6" customFormat="1" x14ac:dyDescent="0.7">
      <c r="A63" s="5"/>
      <c r="B63" s="4"/>
      <c r="C63" s="4"/>
      <c r="D63" s="4"/>
      <c r="E63" s="4"/>
    </row>
    <row r="64" spans="1:5" s="6" customFormat="1" x14ac:dyDescent="0.7">
      <c r="A64" s="5"/>
      <c r="B64" s="4"/>
      <c r="C64" s="4"/>
      <c r="D64" s="4"/>
      <c r="E64" s="4"/>
    </row>
    <row r="65" spans="1:5" s="6" customFormat="1" x14ac:dyDescent="0.7">
      <c r="A65" s="5"/>
      <c r="B65" s="4"/>
      <c r="C65" s="4"/>
      <c r="D65" s="4"/>
      <c r="E65" s="4"/>
    </row>
    <row r="66" spans="1:5" s="6" customFormat="1" x14ac:dyDescent="0.7">
      <c r="A66" s="5"/>
      <c r="B66" s="4"/>
      <c r="C66" s="4"/>
      <c r="D66" s="4"/>
      <c r="E66" s="4"/>
    </row>
    <row r="67" spans="1:5" s="6" customFormat="1" x14ac:dyDescent="0.7">
      <c r="A67" s="5"/>
      <c r="B67" s="4"/>
      <c r="C67" s="4"/>
      <c r="D67" s="4"/>
      <c r="E67" s="4"/>
    </row>
    <row r="68" spans="1:5" s="6" customFormat="1" x14ac:dyDescent="0.7">
      <c r="A68" s="5"/>
      <c r="B68" s="4"/>
      <c r="C68" s="4"/>
      <c r="D68" s="4"/>
      <c r="E68" s="4"/>
    </row>
    <row r="69" spans="1:5" s="6" customFormat="1" x14ac:dyDescent="0.7">
      <c r="A69" s="5"/>
      <c r="B69" s="4"/>
      <c r="C69" s="4"/>
      <c r="D69" s="4"/>
      <c r="E69" s="4"/>
    </row>
    <row r="70" spans="1:5" s="6" customFormat="1" x14ac:dyDescent="0.7">
      <c r="A70" s="5"/>
      <c r="B70" s="4"/>
      <c r="C70" s="4"/>
      <c r="D70" s="4"/>
      <c r="E70" s="4"/>
    </row>
    <row r="71" spans="1:5" s="6" customFormat="1" x14ac:dyDescent="0.7">
      <c r="A71" s="5"/>
      <c r="B71" s="4"/>
      <c r="C71" s="4"/>
      <c r="D71" s="4"/>
      <c r="E71" s="4"/>
    </row>
    <row r="72" spans="1:5" s="6" customFormat="1" x14ac:dyDescent="0.7">
      <c r="A72" s="5"/>
      <c r="B72" s="4"/>
      <c r="C72" s="4"/>
      <c r="D72" s="4"/>
      <c r="E72" s="4"/>
    </row>
    <row r="73" spans="1:5" s="6" customFormat="1" x14ac:dyDescent="0.7">
      <c r="A73" s="5"/>
      <c r="B73" s="4"/>
      <c r="C73" s="4"/>
      <c r="D73" s="4"/>
      <c r="E73" s="4"/>
    </row>
    <row r="74" spans="1:5" s="6" customFormat="1" x14ac:dyDescent="0.7">
      <c r="A74" s="5"/>
      <c r="B74" s="4"/>
      <c r="C74" s="4"/>
      <c r="D74" s="4"/>
      <c r="E74" s="4"/>
    </row>
    <row r="75" spans="1:5" s="6" customFormat="1" x14ac:dyDescent="0.7">
      <c r="A75" s="5"/>
      <c r="B75" s="4"/>
      <c r="C75" s="4"/>
      <c r="D75" s="4"/>
      <c r="E75" s="4"/>
    </row>
    <row r="76" spans="1:5" s="6" customFormat="1" x14ac:dyDescent="0.7">
      <c r="A76" s="5"/>
      <c r="B76" s="4"/>
      <c r="C76" s="4"/>
      <c r="D76" s="4"/>
      <c r="E76" s="4"/>
    </row>
    <row r="77" spans="1:5" s="6" customFormat="1" x14ac:dyDescent="0.7">
      <c r="A77" s="5"/>
      <c r="B77" s="4"/>
      <c r="C77" s="4"/>
      <c r="D77" s="4"/>
      <c r="E77" s="4"/>
    </row>
    <row r="78" spans="1:5" s="6" customFormat="1" x14ac:dyDescent="0.7">
      <c r="A78" s="5"/>
      <c r="B78" s="4"/>
      <c r="C78" s="4"/>
      <c r="D78" s="4"/>
      <c r="E78" s="4"/>
    </row>
    <row r="79" spans="1:5" s="6" customFormat="1" x14ac:dyDescent="0.7">
      <c r="A79" s="5"/>
      <c r="B79" s="4"/>
      <c r="C79" s="4"/>
      <c r="D79" s="4"/>
      <c r="E79" s="4"/>
    </row>
    <row r="80" spans="1:5" s="6" customFormat="1" x14ac:dyDescent="0.7">
      <c r="A80" s="5"/>
      <c r="B80" s="4"/>
      <c r="C80" s="4"/>
      <c r="D80" s="4"/>
      <c r="E80" s="4"/>
    </row>
    <row r="81" spans="1:5" s="6" customFormat="1" x14ac:dyDescent="0.7">
      <c r="A81" s="5"/>
      <c r="B81" s="4"/>
      <c r="C81" s="4"/>
      <c r="D81" s="4"/>
      <c r="E81" s="4"/>
    </row>
    <row r="82" spans="1:5" s="6" customFormat="1" x14ac:dyDescent="0.7">
      <c r="A82" s="5"/>
      <c r="B82" s="4"/>
      <c r="C82" s="4"/>
      <c r="D82" s="4"/>
      <c r="E82" s="4"/>
    </row>
    <row r="83" spans="1:5" s="6" customFormat="1" x14ac:dyDescent="0.7">
      <c r="A83" s="5"/>
      <c r="B83" s="4"/>
      <c r="C83" s="4"/>
      <c r="D83" s="4"/>
      <c r="E83" s="4"/>
    </row>
    <row r="84" spans="1:5" s="6" customFormat="1" x14ac:dyDescent="0.7">
      <c r="A84" s="5"/>
      <c r="B84" s="4"/>
      <c r="C84" s="4"/>
      <c r="D84" s="4"/>
      <c r="E84" s="4"/>
    </row>
    <row r="85" spans="1:5" s="6" customFormat="1" x14ac:dyDescent="0.7">
      <c r="A85" s="5"/>
      <c r="B85" s="4"/>
      <c r="C85" s="4"/>
      <c r="D85" s="4"/>
      <c r="E85" s="4"/>
    </row>
    <row r="86" spans="1:5" s="6" customFormat="1" x14ac:dyDescent="0.7">
      <c r="A86" s="5"/>
      <c r="B86" s="4"/>
      <c r="C86" s="4"/>
      <c r="D86" s="4"/>
      <c r="E86" s="4"/>
    </row>
    <row r="87" spans="1:5" s="6" customFormat="1" x14ac:dyDescent="0.7">
      <c r="A87" s="5"/>
      <c r="B87" s="4"/>
      <c r="C87" s="4"/>
      <c r="D87" s="4"/>
      <c r="E87" s="4"/>
    </row>
    <row r="88" spans="1:5" s="6" customFormat="1" x14ac:dyDescent="0.7">
      <c r="A88" s="5"/>
      <c r="B88" s="4"/>
      <c r="C88" s="4"/>
      <c r="D88" s="4"/>
      <c r="E88" s="4"/>
    </row>
    <row r="89" spans="1:5" s="6" customFormat="1" x14ac:dyDescent="0.7">
      <c r="A89" s="5"/>
      <c r="B89" s="4"/>
      <c r="C89" s="4"/>
      <c r="D89" s="4"/>
      <c r="E89" s="4"/>
    </row>
    <row r="90" spans="1:5" s="6" customFormat="1" x14ac:dyDescent="0.7">
      <c r="A90" s="5"/>
      <c r="B90" s="4"/>
      <c r="C90" s="4"/>
      <c r="D90" s="4"/>
      <c r="E90" s="4"/>
    </row>
    <row r="91" spans="1:5" s="6" customFormat="1" x14ac:dyDescent="0.7">
      <c r="A91" s="5"/>
      <c r="B91" s="4"/>
      <c r="C91" s="4"/>
      <c r="D91" s="4"/>
      <c r="E91" s="4"/>
    </row>
    <row r="92" spans="1:5" s="6" customFormat="1" x14ac:dyDescent="0.7">
      <c r="A92" s="5"/>
      <c r="B92" s="4"/>
      <c r="C92" s="4"/>
      <c r="D92" s="4"/>
      <c r="E92" s="4"/>
    </row>
    <row r="93" spans="1:5" s="6" customFormat="1" x14ac:dyDescent="0.7">
      <c r="A93" s="5"/>
      <c r="B93" s="4"/>
      <c r="C93" s="4"/>
      <c r="D93" s="4"/>
      <c r="E93" s="4"/>
    </row>
    <row r="94" spans="1:5" s="6" customFormat="1" x14ac:dyDescent="0.7">
      <c r="A94" s="5"/>
      <c r="B94" s="4"/>
      <c r="C94" s="4"/>
      <c r="D94" s="4"/>
      <c r="E94" s="4"/>
    </row>
    <row r="95" spans="1:5" s="6" customFormat="1" x14ac:dyDescent="0.7">
      <c r="A95" s="5"/>
      <c r="B95" s="4"/>
      <c r="C95" s="4"/>
      <c r="D95" s="4"/>
      <c r="E95" s="4"/>
    </row>
    <row r="96" spans="1:5" s="6" customFormat="1" x14ac:dyDescent="0.7">
      <c r="A96" s="5"/>
      <c r="B96" s="4"/>
      <c r="C96" s="4"/>
      <c r="D96" s="4"/>
      <c r="E96" s="4"/>
    </row>
    <row r="97" spans="1:5" s="6" customFormat="1" x14ac:dyDescent="0.7">
      <c r="A97" s="5"/>
      <c r="B97" s="4"/>
      <c r="C97" s="4"/>
      <c r="D97" s="4"/>
      <c r="E97" s="4"/>
    </row>
    <row r="98" spans="1:5" s="6" customFormat="1" x14ac:dyDescent="0.7">
      <c r="A98" s="5"/>
      <c r="B98" s="4"/>
      <c r="C98" s="4"/>
      <c r="D98" s="4"/>
      <c r="E98" s="4"/>
    </row>
    <row r="99" spans="1:5" s="6" customFormat="1" x14ac:dyDescent="0.7">
      <c r="A99" s="5"/>
      <c r="B99" s="4"/>
      <c r="C99" s="4"/>
      <c r="D99" s="4"/>
      <c r="E99" s="4"/>
    </row>
    <row r="100" spans="1:5" s="6" customFormat="1" x14ac:dyDescent="0.7">
      <c r="A100" s="5"/>
      <c r="B100" s="4"/>
      <c r="C100" s="4"/>
      <c r="D100" s="4"/>
      <c r="E100" s="4"/>
    </row>
    <row r="101" spans="1:5" s="6" customFormat="1" x14ac:dyDescent="0.7">
      <c r="A101" s="5"/>
      <c r="B101" s="4"/>
      <c r="C101" s="4"/>
      <c r="D101" s="4"/>
      <c r="E101" s="4"/>
    </row>
    <row r="102" spans="1:5" s="6" customFormat="1" x14ac:dyDescent="0.7">
      <c r="A102" s="5"/>
      <c r="B102" s="4"/>
      <c r="C102" s="4"/>
      <c r="D102" s="4"/>
      <c r="E102" s="4"/>
    </row>
    <row r="103" spans="1:5" s="6" customFormat="1" x14ac:dyDescent="0.7">
      <c r="A103" s="5"/>
      <c r="B103" s="4"/>
      <c r="C103" s="4"/>
      <c r="D103" s="4"/>
      <c r="E103" s="4"/>
    </row>
    <row r="104" spans="1:5" s="6" customFormat="1" x14ac:dyDescent="0.7">
      <c r="A104" s="5"/>
      <c r="B104" s="4"/>
      <c r="C104" s="4"/>
      <c r="D104" s="4"/>
      <c r="E104" s="4"/>
    </row>
    <row r="105" spans="1:5" s="6" customFormat="1" x14ac:dyDescent="0.7">
      <c r="A105" s="5"/>
      <c r="B105" s="4"/>
      <c r="C105" s="4"/>
      <c r="D105" s="4"/>
      <c r="E105" s="4"/>
    </row>
    <row r="106" spans="1:5" s="6" customFormat="1" x14ac:dyDescent="0.7">
      <c r="A106" s="5"/>
      <c r="B106" s="4"/>
      <c r="C106" s="4"/>
      <c r="D106" s="4"/>
      <c r="E106" s="4"/>
    </row>
    <row r="107" spans="1:5" s="6" customFormat="1" x14ac:dyDescent="0.7">
      <c r="A107" s="5"/>
      <c r="B107" s="4"/>
      <c r="C107" s="4"/>
      <c r="D107" s="4"/>
      <c r="E107" s="4"/>
    </row>
    <row r="108" spans="1:5" s="6" customFormat="1" x14ac:dyDescent="0.7">
      <c r="A108" s="5"/>
      <c r="B108" s="4"/>
      <c r="C108" s="4"/>
      <c r="D108" s="4"/>
      <c r="E108" s="4"/>
    </row>
    <row r="109" spans="1:5" s="6" customFormat="1" x14ac:dyDescent="0.7">
      <c r="A109" s="5"/>
      <c r="B109" s="4"/>
      <c r="C109" s="4"/>
      <c r="D109" s="4"/>
      <c r="E109" s="4"/>
    </row>
    <row r="110" spans="1:5" s="6" customFormat="1" x14ac:dyDescent="0.7">
      <c r="A110" s="5"/>
      <c r="B110" s="4"/>
      <c r="C110" s="4"/>
      <c r="D110" s="4"/>
      <c r="E110" s="4"/>
    </row>
    <row r="111" spans="1:5" s="6" customFormat="1" x14ac:dyDescent="0.7">
      <c r="A111" s="5"/>
      <c r="B111" s="4"/>
      <c r="C111" s="4"/>
      <c r="D111" s="4"/>
      <c r="E111" s="4"/>
    </row>
    <row r="112" spans="1:5" s="6" customFormat="1" x14ac:dyDescent="0.7">
      <c r="A112" s="5"/>
      <c r="B112" s="4"/>
      <c r="C112" s="4"/>
      <c r="D112" s="4"/>
      <c r="E112" s="4"/>
    </row>
    <row r="113" spans="1:5" s="6" customFormat="1" x14ac:dyDescent="0.7">
      <c r="A113" s="5"/>
      <c r="B113" s="4"/>
      <c r="C113" s="4"/>
      <c r="D113" s="4"/>
      <c r="E113" s="4"/>
    </row>
    <row r="114" spans="1:5" s="6" customFormat="1" x14ac:dyDescent="0.7">
      <c r="A114" s="5"/>
      <c r="B114" s="4"/>
      <c r="C114" s="4"/>
      <c r="D114" s="4"/>
      <c r="E114" s="4"/>
    </row>
    <row r="115" spans="1:5" s="6" customFormat="1" x14ac:dyDescent="0.7">
      <c r="A115" s="5"/>
      <c r="B115" s="4"/>
      <c r="C115" s="4"/>
      <c r="D115" s="4"/>
      <c r="E115" s="4"/>
    </row>
    <row r="116" spans="1:5" s="6" customFormat="1" x14ac:dyDescent="0.7">
      <c r="A116" s="5"/>
      <c r="B116" s="4"/>
      <c r="C116" s="4"/>
      <c r="D116" s="4"/>
      <c r="E116" s="4"/>
    </row>
    <row r="117" spans="1:5" s="6" customFormat="1" x14ac:dyDescent="0.7">
      <c r="A117" s="5"/>
      <c r="B117" s="4"/>
      <c r="C117" s="4"/>
      <c r="D117" s="4"/>
      <c r="E117" s="4"/>
    </row>
    <row r="118" spans="1:5" s="6" customFormat="1" x14ac:dyDescent="0.7">
      <c r="A118" s="5"/>
      <c r="B118" s="4"/>
      <c r="C118" s="4"/>
      <c r="D118" s="4"/>
      <c r="E118" s="4"/>
    </row>
    <row r="119" spans="1:5" s="6" customFormat="1" x14ac:dyDescent="0.7">
      <c r="A119" s="5"/>
      <c r="B119" s="4"/>
      <c r="C119" s="4"/>
      <c r="D119" s="4"/>
      <c r="E119" s="4"/>
    </row>
    <row r="120" spans="1:5" s="6" customFormat="1" x14ac:dyDescent="0.7">
      <c r="A120" s="5"/>
      <c r="B120" s="4"/>
      <c r="C120" s="4"/>
      <c r="D120" s="4"/>
      <c r="E120" s="4"/>
    </row>
    <row r="121" spans="1:5" s="6" customFormat="1" x14ac:dyDescent="0.7">
      <c r="A121" s="5"/>
      <c r="B121" s="4"/>
      <c r="C121" s="4"/>
      <c r="D121" s="4"/>
      <c r="E121" s="4"/>
    </row>
    <row r="122" spans="1:5" s="6" customFormat="1" x14ac:dyDescent="0.7">
      <c r="A122" s="5"/>
      <c r="B122" s="4"/>
      <c r="C122" s="4"/>
      <c r="D122" s="4"/>
      <c r="E122" s="4"/>
    </row>
    <row r="123" spans="1:5" s="6" customFormat="1" x14ac:dyDescent="0.7">
      <c r="A123" s="5"/>
      <c r="B123" s="4"/>
      <c r="C123" s="4"/>
      <c r="D123" s="4"/>
      <c r="E123" s="4"/>
    </row>
    <row r="124" spans="1:5" s="6" customFormat="1" x14ac:dyDescent="0.7">
      <c r="A124" s="5"/>
      <c r="B124" s="4"/>
      <c r="C124" s="4"/>
      <c r="D124" s="4"/>
      <c r="E124" s="4"/>
    </row>
    <row r="125" spans="1:5" s="6" customFormat="1" x14ac:dyDescent="0.7">
      <c r="A125" s="5"/>
      <c r="B125" s="4"/>
      <c r="C125" s="4"/>
      <c r="D125" s="4"/>
      <c r="E125" s="4"/>
    </row>
    <row r="126" spans="1:5" s="6" customFormat="1" x14ac:dyDescent="0.7">
      <c r="A126" s="5"/>
      <c r="B126" s="4"/>
      <c r="C126" s="4"/>
      <c r="D126" s="4"/>
      <c r="E126" s="4"/>
    </row>
    <row r="127" spans="1:5" s="6" customFormat="1" x14ac:dyDescent="0.7">
      <c r="A127" s="5"/>
      <c r="B127" s="4"/>
      <c r="C127" s="4"/>
      <c r="D127" s="4"/>
      <c r="E127" s="4"/>
    </row>
    <row r="128" spans="1:5" s="6" customFormat="1" x14ac:dyDescent="0.7">
      <c r="A128" s="5"/>
      <c r="B128" s="4"/>
      <c r="C128" s="4"/>
      <c r="D128" s="4"/>
      <c r="E128" s="4"/>
    </row>
    <row r="129" spans="1:5" s="6" customFormat="1" x14ac:dyDescent="0.7">
      <c r="A129" s="5"/>
      <c r="B129" s="4"/>
      <c r="C129" s="4"/>
      <c r="D129" s="4"/>
      <c r="E129" s="4"/>
    </row>
    <row r="130" spans="1:5" s="6" customFormat="1" x14ac:dyDescent="0.7">
      <c r="A130" s="5"/>
      <c r="B130" s="4"/>
      <c r="C130" s="4"/>
      <c r="D130" s="4"/>
      <c r="E130" s="4"/>
    </row>
    <row r="131" spans="1:5" s="6" customFormat="1" x14ac:dyDescent="0.7">
      <c r="A131" s="5"/>
      <c r="B131" s="4"/>
      <c r="C131" s="4"/>
      <c r="D131" s="4"/>
      <c r="E131" s="4"/>
    </row>
    <row r="132" spans="1:5" s="6" customFormat="1" x14ac:dyDescent="0.7">
      <c r="A132" s="5"/>
      <c r="B132" s="4"/>
      <c r="C132" s="4"/>
      <c r="D132" s="4"/>
      <c r="E132" s="4"/>
    </row>
    <row r="133" spans="1:5" s="6" customFormat="1" x14ac:dyDescent="0.7">
      <c r="A133" s="5"/>
      <c r="B133" s="4"/>
      <c r="C133" s="4"/>
      <c r="D133" s="4"/>
      <c r="E133" s="4"/>
    </row>
    <row r="134" spans="1:5" s="6" customFormat="1" x14ac:dyDescent="0.7">
      <c r="A134" s="5"/>
      <c r="B134" s="4"/>
      <c r="C134" s="4"/>
      <c r="D134" s="4"/>
      <c r="E134" s="4"/>
    </row>
    <row r="135" spans="1:5" s="6" customFormat="1" x14ac:dyDescent="0.7">
      <c r="A135" s="5"/>
      <c r="B135" s="4"/>
      <c r="C135" s="4"/>
      <c r="D135" s="4"/>
      <c r="E135" s="4"/>
    </row>
    <row r="136" spans="1:5" s="6" customFormat="1" x14ac:dyDescent="0.7">
      <c r="A136" s="5"/>
      <c r="B136" s="4"/>
      <c r="C136" s="4"/>
      <c r="D136" s="4"/>
      <c r="E136" s="4"/>
    </row>
    <row r="137" spans="1:5" s="6" customFormat="1" x14ac:dyDescent="0.7">
      <c r="A137" s="5"/>
      <c r="B137" s="4"/>
      <c r="C137" s="4"/>
      <c r="D137" s="4"/>
      <c r="E137" s="4"/>
    </row>
    <row r="138" spans="1:5" s="6" customFormat="1" x14ac:dyDescent="0.7">
      <c r="A138" s="5"/>
      <c r="B138" s="4"/>
      <c r="C138" s="4"/>
      <c r="D138" s="4"/>
      <c r="E138" s="4"/>
    </row>
    <row r="139" spans="1:5" s="6" customFormat="1" x14ac:dyDescent="0.7">
      <c r="A139" s="5"/>
      <c r="B139" s="4"/>
      <c r="C139" s="4"/>
      <c r="D139" s="4"/>
      <c r="E139" s="4"/>
    </row>
    <row r="140" spans="1:5" s="6" customFormat="1" x14ac:dyDescent="0.7">
      <c r="A140" s="5"/>
      <c r="B140" s="4"/>
      <c r="C140" s="4"/>
      <c r="D140" s="4"/>
      <c r="E140" s="4"/>
    </row>
    <row r="141" spans="1:5" s="6" customFormat="1" x14ac:dyDescent="0.7">
      <c r="A141" s="5"/>
      <c r="B141" s="4"/>
      <c r="C141" s="4"/>
      <c r="D141" s="4"/>
      <c r="E141" s="4"/>
    </row>
    <row r="142" spans="1:5" s="6" customFormat="1" x14ac:dyDescent="0.7">
      <c r="A142" s="5"/>
      <c r="B142" s="4"/>
      <c r="C142" s="4"/>
      <c r="D142" s="4"/>
      <c r="E142" s="4"/>
    </row>
    <row r="143" spans="1:5" s="6" customFormat="1" x14ac:dyDescent="0.7">
      <c r="A143" s="5"/>
      <c r="B143" s="4"/>
      <c r="C143" s="4"/>
      <c r="D143" s="4"/>
      <c r="E143" s="4"/>
    </row>
    <row r="144" spans="1:5" s="6" customFormat="1" x14ac:dyDescent="0.7">
      <c r="A144" s="5"/>
      <c r="B144" s="4"/>
      <c r="C144" s="4"/>
      <c r="D144" s="4"/>
      <c r="E144" s="4"/>
    </row>
    <row r="145" spans="1:5" s="6" customFormat="1" x14ac:dyDescent="0.7">
      <c r="A145" s="5"/>
      <c r="B145" s="4"/>
      <c r="C145" s="4"/>
      <c r="D145" s="4"/>
      <c r="E145" s="4"/>
    </row>
    <row r="146" spans="1:5" s="6" customFormat="1" x14ac:dyDescent="0.7">
      <c r="A146" s="5"/>
      <c r="B146" s="4"/>
      <c r="C146" s="4"/>
      <c r="D146" s="4"/>
      <c r="E146" s="4"/>
    </row>
    <row r="147" spans="1:5" s="6" customFormat="1" x14ac:dyDescent="0.7">
      <c r="A147" s="5"/>
      <c r="B147" s="4"/>
      <c r="C147" s="4"/>
      <c r="D147" s="4"/>
      <c r="E147" s="4"/>
    </row>
    <row r="148" spans="1:5" s="6" customFormat="1" x14ac:dyDescent="0.7">
      <c r="A148" s="5"/>
      <c r="B148" s="4"/>
      <c r="C148" s="4"/>
      <c r="D148" s="4"/>
      <c r="E148" s="4"/>
    </row>
    <row r="149" spans="1:5" s="6" customFormat="1" x14ac:dyDescent="0.7">
      <c r="A149" s="5"/>
      <c r="B149" s="4"/>
      <c r="C149" s="4"/>
      <c r="D149" s="4"/>
      <c r="E149" s="4"/>
    </row>
    <row r="150" spans="1:5" s="6" customFormat="1" x14ac:dyDescent="0.7">
      <c r="A150" s="5"/>
      <c r="B150" s="4"/>
      <c r="C150" s="4"/>
      <c r="D150" s="4"/>
      <c r="E150" s="4"/>
    </row>
    <row r="151" spans="1:5" s="6" customFormat="1" x14ac:dyDescent="0.7">
      <c r="A151" s="5"/>
      <c r="B151" s="4"/>
      <c r="C151" s="4"/>
      <c r="D151" s="4"/>
      <c r="E151" s="4"/>
    </row>
    <row r="152" spans="1:5" s="6" customFormat="1" x14ac:dyDescent="0.7">
      <c r="A152" s="5"/>
      <c r="B152" s="4"/>
      <c r="C152" s="4"/>
      <c r="D152" s="4"/>
      <c r="E152" s="4"/>
    </row>
    <row r="153" spans="1:5" s="6" customFormat="1" x14ac:dyDescent="0.7">
      <c r="A153" s="5"/>
      <c r="B153" s="4"/>
      <c r="C153" s="4"/>
      <c r="D153" s="4"/>
      <c r="E153" s="4"/>
    </row>
    <row r="154" spans="1:5" s="6" customFormat="1" x14ac:dyDescent="0.7">
      <c r="A154" s="5"/>
      <c r="B154" s="4"/>
      <c r="C154" s="4"/>
      <c r="D154" s="4"/>
      <c r="E154" s="4"/>
    </row>
    <row r="155" spans="1:5" s="6" customFormat="1" x14ac:dyDescent="0.7">
      <c r="A155" s="5"/>
      <c r="B155" s="4"/>
      <c r="C155" s="4"/>
      <c r="D155" s="4"/>
      <c r="E155" s="4"/>
    </row>
    <row r="156" spans="1:5" s="6" customFormat="1" x14ac:dyDescent="0.7">
      <c r="A156" s="5"/>
      <c r="B156" s="4"/>
      <c r="C156" s="4"/>
      <c r="D156" s="4"/>
      <c r="E156" s="4"/>
    </row>
    <row r="157" spans="1:5" s="6" customFormat="1" x14ac:dyDescent="0.7">
      <c r="A157" s="5"/>
      <c r="B157" s="4"/>
      <c r="C157" s="4"/>
      <c r="D157" s="4"/>
      <c r="E157" s="4"/>
    </row>
    <row r="158" spans="1:5" s="6" customFormat="1" x14ac:dyDescent="0.7">
      <c r="A158" s="5"/>
      <c r="B158" s="4"/>
      <c r="C158" s="4"/>
      <c r="D158" s="4"/>
      <c r="E158" s="4"/>
    </row>
    <row r="159" spans="1:5" s="6" customFormat="1" x14ac:dyDescent="0.7">
      <c r="A159" s="5"/>
      <c r="B159" s="4"/>
      <c r="C159" s="4"/>
      <c r="D159" s="4"/>
      <c r="E159" s="4"/>
    </row>
    <row r="160" spans="1:5" s="6" customFormat="1" x14ac:dyDescent="0.7">
      <c r="A160" s="5"/>
      <c r="B160" s="4"/>
      <c r="C160" s="4"/>
      <c r="D160" s="4"/>
      <c r="E160" s="4"/>
    </row>
    <row r="161" spans="1:5" s="6" customFormat="1" x14ac:dyDescent="0.7">
      <c r="A161" s="5"/>
      <c r="B161" s="4"/>
      <c r="C161" s="4"/>
      <c r="D161" s="4"/>
      <c r="E161" s="4"/>
    </row>
    <row r="162" spans="1:5" s="6" customFormat="1" x14ac:dyDescent="0.7">
      <c r="A162" s="5"/>
      <c r="B162" s="4"/>
      <c r="C162" s="4"/>
      <c r="D162" s="4"/>
      <c r="E162" s="4"/>
    </row>
    <row r="163" spans="1:5" s="6" customFormat="1" x14ac:dyDescent="0.7">
      <c r="A163" s="5"/>
      <c r="B163" s="4"/>
      <c r="C163" s="4"/>
      <c r="D163" s="4"/>
      <c r="E163" s="4"/>
    </row>
    <row r="164" spans="1:5" s="6" customFormat="1" x14ac:dyDescent="0.7">
      <c r="A164" s="5"/>
      <c r="B164" s="4"/>
      <c r="C164" s="4"/>
      <c r="D164" s="4"/>
      <c r="E164" s="4"/>
    </row>
    <row r="165" spans="1:5" s="6" customFormat="1" x14ac:dyDescent="0.7">
      <c r="A165" s="5"/>
      <c r="B165" s="4"/>
      <c r="C165" s="4"/>
      <c r="D165" s="4"/>
      <c r="E165" s="4"/>
    </row>
    <row r="166" spans="1:5" s="6" customFormat="1" x14ac:dyDescent="0.7">
      <c r="A166" s="5"/>
      <c r="B166" s="4"/>
      <c r="C166" s="4"/>
      <c r="D166" s="4"/>
      <c r="E166" s="4"/>
    </row>
    <row r="167" spans="1:5" s="6" customFormat="1" x14ac:dyDescent="0.7">
      <c r="A167" s="5"/>
      <c r="B167" s="4"/>
      <c r="C167" s="4"/>
      <c r="D167" s="4"/>
      <c r="E167" s="4"/>
    </row>
    <row r="168" spans="1:5" s="6" customFormat="1" x14ac:dyDescent="0.7">
      <c r="A168" s="5"/>
      <c r="B168" s="4"/>
      <c r="C168" s="4"/>
      <c r="D168" s="4"/>
      <c r="E168" s="4"/>
    </row>
    <row r="169" spans="1:5" s="6" customFormat="1" x14ac:dyDescent="0.7">
      <c r="A169" s="5"/>
      <c r="B169" s="4"/>
      <c r="C169" s="4"/>
      <c r="D169" s="4"/>
      <c r="E169" s="4"/>
    </row>
    <row r="170" spans="1:5" s="6" customFormat="1" x14ac:dyDescent="0.7">
      <c r="A170" s="5"/>
      <c r="B170" s="4"/>
      <c r="C170" s="4"/>
      <c r="D170" s="4"/>
      <c r="E170" s="4"/>
    </row>
    <row r="171" spans="1:5" s="6" customFormat="1" x14ac:dyDescent="0.7">
      <c r="A171" s="5"/>
      <c r="B171" s="4"/>
      <c r="C171" s="4"/>
      <c r="D171" s="4"/>
      <c r="E171" s="4"/>
    </row>
    <row r="172" spans="1:5" s="6" customFormat="1" x14ac:dyDescent="0.7">
      <c r="A172" s="5"/>
      <c r="B172" s="4"/>
      <c r="C172" s="4"/>
      <c r="D172" s="4"/>
      <c r="E172" s="4"/>
    </row>
    <row r="173" spans="1:5" s="6" customFormat="1" x14ac:dyDescent="0.7">
      <c r="A173" s="5"/>
      <c r="B173" s="4"/>
      <c r="C173" s="4"/>
      <c r="D173" s="4"/>
      <c r="E173" s="4"/>
    </row>
    <row r="174" spans="1:5" s="6" customFormat="1" x14ac:dyDescent="0.7">
      <c r="A174" s="5"/>
      <c r="B174" s="4"/>
      <c r="C174" s="4"/>
      <c r="D174" s="4"/>
      <c r="E174" s="4"/>
    </row>
    <row r="175" spans="1:5" s="6" customFormat="1" x14ac:dyDescent="0.7">
      <c r="A175" s="5"/>
      <c r="B175" s="4"/>
      <c r="C175" s="4"/>
      <c r="D175" s="4"/>
      <c r="E175" s="4"/>
    </row>
    <row r="176" spans="1:5" s="6" customFormat="1" x14ac:dyDescent="0.7">
      <c r="A176" s="5"/>
      <c r="B176" s="4"/>
      <c r="C176" s="4"/>
      <c r="D176" s="4"/>
      <c r="E176" s="4"/>
    </row>
    <row r="177" spans="1:5" s="6" customFormat="1" x14ac:dyDescent="0.7">
      <c r="A177" s="5"/>
      <c r="B177" s="4"/>
      <c r="C177" s="4"/>
      <c r="D177" s="4"/>
      <c r="E177" s="4"/>
    </row>
    <row r="178" spans="1:5" s="6" customFormat="1" x14ac:dyDescent="0.7">
      <c r="A178" s="5"/>
      <c r="B178" s="4"/>
      <c r="C178" s="4"/>
      <c r="D178" s="4"/>
      <c r="E178" s="4"/>
    </row>
    <row r="179" spans="1:5" s="6" customFormat="1" x14ac:dyDescent="0.7">
      <c r="A179" s="5"/>
      <c r="B179" s="4"/>
      <c r="C179" s="4"/>
      <c r="D179" s="4"/>
      <c r="E179" s="4"/>
    </row>
    <row r="180" spans="1:5" s="6" customFormat="1" x14ac:dyDescent="0.7">
      <c r="A180" s="5"/>
      <c r="B180" s="4"/>
      <c r="C180" s="4"/>
      <c r="D180" s="4"/>
      <c r="E180" s="4"/>
    </row>
    <row r="181" spans="1:5" s="6" customFormat="1" x14ac:dyDescent="0.7">
      <c r="A181" s="5"/>
      <c r="B181" s="4"/>
      <c r="C181" s="4"/>
      <c r="D181" s="4"/>
      <c r="E181" s="4"/>
    </row>
    <row r="182" spans="1:5" s="6" customFormat="1" x14ac:dyDescent="0.7">
      <c r="A182" s="5"/>
      <c r="B182" s="4"/>
      <c r="C182" s="4"/>
      <c r="D182" s="4"/>
      <c r="E182" s="4"/>
    </row>
    <row r="183" spans="1:5" s="6" customFormat="1" x14ac:dyDescent="0.7">
      <c r="A183" s="5"/>
      <c r="B183" s="4"/>
      <c r="C183" s="4"/>
      <c r="D183" s="4"/>
      <c r="E183" s="4"/>
    </row>
    <row r="184" spans="1:5" x14ac:dyDescent="0.7">
      <c r="A184" s="5"/>
      <c r="B184" s="4"/>
      <c r="C184" s="4"/>
      <c r="D184" s="4"/>
      <c r="E184" s="4"/>
    </row>
    <row r="185" spans="1:5" x14ac:dyDescent="0.7">
      <c r="A185" s="5"/>
      <c r="B185" s="4"/>
      <c r="C185" s="4"/>
      <c r="D185" s="4"/>
      <c r="E185" s="4"/>
    </row>
    <row r="186" spans="1:5" x14ac:dyDescent="0.7">
      <c r="A186" s="5"/>
      <c r="B186" s="4"/>
      <c r="C186" s="4"/>
      <c r="D186" s="4"/>
      <c r="E186" s="4"/>
    </row>
    <row r="187" spans="1:5" x14ac:dyDescent="0.7">
      <c r="A187" s="5"/>
      <c r="B187" s="4"/>
      <c r="C187" s="4"/>
      <c r="D187" s="4"/>
      <c r="E187" s="4"/>
    </row>
    <row r="188" spans="1:5" x14ac:dyDescent="0.7">
      <c r="A188" s="5"/>
      <c r="B188" s="4"/>
      <c r="C188" s="4"/>
      <c r="D188" s="4"/>
      <c r="E188" s="4"/>
    </row>
    <row r="189" spans="1:5" x14ac:dyDescent="0.7">
      <c r="A189" s="5"/>
      <c r="B189" s="4"/>
      <c r="C189" s="4"/>
      <c r="D189" s="4"/>
      <c r="E189" s="4"/>
    </row>
    <row r="190" spans="1:5" x14ac:dyDescent="0.7">
      <c r="A190" s="5"/>
      <c r="B190" s="4"/>
      <c r="C190" s="4"/>
      <c r="D190" s="4"/>
      <c r="E190" s="4"/>
    </row>
    <row r="191" spans="1:5" x14ac:dyDescent="0.7">
      <c r="A191" s="5"/>
      <c r="B191" s="4"/>
      <c r="C191" s="4"/>
      <c r="D191" s="4"/>
      <c r="E191" s="4"/>
    </row>
    <row r="192" spans="1:5" x14ac:dyDescent="0.7">
      <c r="A192" s="5"/>
      <c r="B192" s="4"/>
      <c r="C192" s="4"/>
      <c r="D192" s="4"/>
      <c r="E192" s="4"/>
    </row>
    <row r="193" spans="1:5" x14ac:dyDescent="0.7">
      <c r="A193" s="5"/>
      <c r="B193" s="4"/>
      <c r="C193" s="4"/>
      <c r="D193" s="4"/>
      <c r="E193" s="4"/>
    </row>
    <row r="194" spans="1:5" x14ac:dyDescent="0.7">
      <c r="A194" s="5"/>
      <c r="B194" s="4"/>
      <c r="C194" s="4"/>
      <c r="D194" s="4"/>
      <c r="E194" s="4"/>
    </row>
    <row r="195" spans="1:5" x14ac:dyDescent="0.7">
      <c r="A195" s="5"/>
      <c r="B195" s="4"/>
      <c r="C195" s="4"/>
      <c r="D195" s="4"/>
      <c r="E195" s="4"/>
    </row>
    <row r="196" spans="1:5" x14ac:dyDescent="0.7">
      <c r="A196" s="5"/>
      <c r="B196" s="4"/>
      <c r="C196" s="4"/>
      <c r="D196" s="4"/>
      <c r="E196" s="4"/>
    </row>
    <row r="197" spans="1:5" x14ac:dyDescent="0.7">
      <c r="A197" s="5"/>
      <c r="B197" s="4"/>
      <c r="C197" s="4"/>
      <c r="D197" s="4"/>
      <c r="E197" s="4"/>
    </row>
    <row r="198" spans="1:5" x14ac:dyDescent="0.7">
      <c r="A198" s="5"/>
      <c r="B198" s="4"/>
      <c r="C198" s="4"/>
      <c r="D198" s="4"/>
      <c r="E198" s="4"/>
    </row>
    <row r="199" spans="1:5" x14ac:dyDescent="0.7">
      <c r="A199" s="5"/>
      <c r="B199" s="4"/>
      <c r="C199" s="4"/>
      <c r="D199" s="4"/>
      <c r="E199" s="4"/>
    </row>
    <row r="200" spans="1:5" x14ac:dyDescent="0.7">
      <c r="A200" s="5"/>
      <c r="B200" s="4"/>
      <c r="C200" s="4"/>
      <c r="D200" s="4"/>
      <c r="E200" s="4"/>
    </row>
    <row r="201" spans="1:5" x14ac:dyDescent="0.7">
      <c r="A201" s="5"/>
      <c r="B201" s="4"/>
      <c r="C201" s="4"/>
      <c r="D201" s="4"/>
      <c r="E201" s="4"/>
    </row>
    <row r="202" spans="1:5" x14ac:dyDescent="0.7">
      <c r="A202" s="5"/>
      <c r="B202" s="4"/>
      <c r="C202" s="4"/>
      <c r="D202" s="4"/>
      <c r="E202" s="4"/>
    </row>
    <row r="203" spans="1:5" x14ac:dyDescent="0.7">
      <c r="A203" s="5"/>
      <c r="B203" s="4"/>
      <c r="C203" s="4"/>
      <c r="D203" s="4"/>
      <c r="E203" s="4"/>
    </row>
    <row r="204" spans="1:5" x14ac:dyDescent="0.7">
      <c r="A204" s="5"/>
      <c r="B204" s="4"/>
      <c r="C204" s="4"/>
      <c r="D204" s="4"/>
      <c r="E204" s="4"/>
    </row>
    <row r="205" spans="1:5" x14ac:dyDescent="0.7">
      <c r="A205" s="5"/>
      <c r="B205" s="4"/>
      <c r="C205" s="4"/>
      <c r="D205" s="4"/>
      <c r="E205" s="4"/>
    </row>
    <row r="206" spans="1:5" x14ac:dyDescent="0.7">
      <c r="A206" s="5"/>
      <c r="B206" s="4"/>
      <c r="C206" s="4"/>
      <c r="D206" s="4"/>
      <c r="E206" s="4"/>
    </row>
    <row r="207" spans="1:5" x14ac:dyDescent="0.7">
      <c r="A207" s="5"/>
      <c r="B207" s="4"/>
      <c r="C207" s="4"/>
      <c r="D207" s="4"/>
      <c r="E207" s="4"/>
    </row>
    <row r="208" spans="1:5" x14ac:dyDescent="0.7">
      <c r="A208" s="5"/>
      <c r="B208" s="4"/>
      <c r="C208" s="4"/>
      <c r="D208" s="4"/>
      <c r="E208" s="4"/>
    </row>
    <row r="209" spans="1:5" x14ac:dyDescent="0.7">
      <c r="A209" s="5"/>
      <c r="B209" s="4"/>
      <c r="C209" s="4"/>
      <c r="D209" s="4"/>
      <c r="E209" s="4"/>
    </row>
    <row r="210" spans="1:5" x14ac:dyDescent="0.7">
      <c r="A210" s="5"/>
      <c r="B210" s="4"/>
      <c r="C210" s="4"/>
      <c r="D210" s="4"/>
      <c r="E210" s="4"/>
    </row>
    <row r="211" spans="1:5" x14ac:dyDescent="0.7">
      <c r="A211" s="5"/>
      <c r="B211" s="4"/>
      <c r="C211" s="4"/>
      <c r="D211" s="4"/>
      <c r="E211" s="4"/>
    </row>
    <row r="212" spans="1:5" x14ac:dyDescent="0.7">
      <c r="A212" s="5"/>
      <c r="B212" s="4"/>
      <c r="C212" s="4"/>
      <c r="D212" s="4"/>
      <c r="E212" s="4"/>
    </row>
    <row r="213" spans="1:5" x14ac:dyDescent="0.7">
      <c r="A213" s="5"/>
      <c r="B213" s="4"/>
      <c r="C213" s="4"/>
      <c r="D213" s="4"/>
      <c r="E213" s="4"/>
    </row>
    <row r="214" spans="1:5" x14ac:dyDescent="0.7">
      <c r="A214" s="5"/>
      <c r="B214" s="4"/>
      <c r="C214" s="4"/>
      <c r="D214" s="4"/>
      <c r="E214" s="4"/>
    </row>
    <row r="215" spans="1:5" x14ac:dyDescent="0.7">
      <c r="A215" s="5"/>
      <c r="B215" s="4"/>
      <c r="C215" s="4"/>
      <c r="D215" s="4"/>
      <c r="E215" s="4"/>
    </row>
    <row r="216" spans="1:5" x14ac:dyDescent="0.7">
      <c r="A216" s="5"/>
      <c r="B216" s="4"/>
      <c r="C216" s="4"/>
      <c r="D216" s="4"/>
      <c r="E216" s="4"/>
    </row>
    <row r="217" spans="1:5" x14ac:dyDescent="0.7">
      <c r="A217" s="5"/>
      <c r="B217" s="4"/>
      <c r="C217" s="4"/>
      <c r="D217" s="4"/>
      <c r="E217" s="4"/>
    </row>
    <row r="218" spans="1:5" x14ac:dyDescent="0.7">
      <c r="A218" s="5"/>
      <c r="B218" s="4"/>
      <c r="C218" s="4"/>
      <c r="D218" s="4"/>
      <c r="E218" s="4"/>
    </row>
    <row r="219" spans="1:5" x14ac:dyDescent="0.7">
      <c r="A219" s="5"/>
      <c r="B219" s="4"/>
      <c r="C219" s="4"/>
      <c r="D219" s="4"/>
      <c r="E219" s="4"/>
    </row>
    <row r="220" spans="1:5" x14ac:dyDescent="0.7">
      <c r="A220" s="5"/>
      <c r="B220" s="4"/>
      <c r="C220" s="4"/>
      <c r="D220" s="4"/>
      <c r="E220" s="4"/>
    </row>
    <row r="221" spans="1:5" x14ac:dyDescent="0.7">
      <c r="A221" s="5"/>
      <c r="B221" s="4"/>
      <c r="C221" s="4"/>
      <c r="D221" s="4"/>
      <c r="E221" s="4"/>
    </row>
    <row r="222" spans="1:5" x14ac:dyDescent="0.7">
      <c r="A222" s="5"/>
      <c r="B222" s="4"/>
      <c r="C222" s="4"/>
      <c r="D222" s="4"/>
      <c r="E222" s="4"/>
    </row>
    <row r="223" spans="1:5" x14ac:dyDescent="0.7">
      <c r="A223" s="5"/>
      <c r="B223" s="4"/>
      <c r="C223" s="4"/>
      <c r="D223" s="4"/>
      <c r="E223" s="4"/>
    </row>
    <row r="224" spans="1:5" x14ac:dyDescent="0.7">
      <c r="A224" s="5"/>
      <c r="B224" s="4"/>
      <c r="C224" s="4"/>
      <c r="D224" s="4"/>
      <c r="E224" s="4"/>
    </row>
    <row r="225" spans="1:5" x14ac:dyDescent="0.7">
      <c r="A225" s="5"/>
      <c r="B225" s="4"/>
      <c r="C225" s="4"/>
      <c r="D225" s="4"/>
      <c r="E225" s="4"/>
    </row>
    <row r="226" spans="1:5" x14ac:dyDescent="0.7">
      <c r="A226" s="5"/>
      <c r="B226" s="4"/>
      <c r="C226" s="4"/>
      <c r="D226" s="4"/>
      <c r="E226" s="4"/>
    </row>
    <row r="227" spans="1:5" x14ac:dyDescent="0.7">
      <c r="A227" s="5"/>
      <c r="B227" s="4"/>
      <c r="C227" s="4"/>
      <c r="D227" s="4"/>
      <c r="E227" s="4"/>
    </row>
    <row r="228" spans="1:5" x14ac:dyDescent="0.7">
      <c r="A228" s="5"/>
      <c r="B228" s="4"/>
      <c r="C228" s="4"/>
      <c r="D228" s="4"/>
      <c r="E228" s="4"/>
    </row>
    <row r="229" spans="1:5" x14ac:dyDescent="0.7">
      <c r="A229" s="5"/>
      <c r="B229" s="4"/>
      <c r="C229" s="4"/>
      <c r="D229" s="4"/>
      <c r="E229" s="4"/>
    </row>
    <row r="230" spans="1:5" x14ac:dyDescent="0.7">
      <c r="A230" s="5"/>
      <c r="B230" s="4"/>
      <c r="C230" s="4"/>
      <c r="D230" s="4"/>
      <c r="E230" s="4"/>
    </row>
    <row r="231" spans="1:5" x14ac:dyDescent="0.7">
      <c r="A231" s="5"/>
      <c r="B231" s="4"/>
      <c r="C231" s="4"/>
      <c r="D231" s="4"/>
      <c r="E231" s="4"/>
    </row>
    <row r="232" spans="1:5" x14ac:dyDescent="0.7">
      <c r="A232" s="5"/>
      <c r="B232" s="4"/>
      <c r="C232" s="4"/>
      <c r="D232" s="4"/>
      <c r="E232" s="4"/>
    </row>
    <row r="233" spans="1:5" x14ac:dyDescent="0.7">
      <c r="A233" s="5"/>
      <c r="B233" s="4"/>
      <c r="C233" s="4"/>
      <c r="D233" s="4"/>
      <c r="E233" s="4"/>
    </row>
    <row r="234" spans="1:5" x14ac:dyDescent="0.7">
      <c r="A234" s="5"/>
      <c r="B234" s="4"/>
      <c r="C234" s="4"/>
      <c r="D234" s="4"/>
      <c r="E234" s="4"/>
    </row>
    <row r="235" spans="1:5" x14ac:dyDescent="0.7">
      <c r="A235" s="5"/>
      <c r="B235" s="4"/>
      <c r="C235" s="4"/>
      <c r="D235" s="4"/>
      <c r="E235" s="4"/>
    </row>
    <row r="236" spans="1:5" x14ac:dyDescent="0.7">
      <c r="A236" s="5"/>
      <c r="B236" s="4"/>
      <c r="C236" s="4"/>
      <c r="D236" s="4"/>
      <c r="E236" s="4"/>
    </row>
    <row r="237" spans="1:5" x14ac:dyDescent="0.7">
      <c r="A237" s="5"/>
      <c r="B237" s="4"/>
      <c r="C237" s="4"/>
      <c r="D237" s="4"/>
      <c r="E237" s="4"/>
    </row>
    <row r="238" spans="1:5" x14ac:dyDescent="0.7">
      <c r="A238" s="5"/>
      <c r="B238" s="4"/>
      <c r="C238" s="4"/>
      <c r="D238" s="4"/>
      <c r="E238" s="4"/>
    </row>
    <row r="239" spans="1:5" x14ac:dyDescent="0.7">
      <c r="A239" s="5"/>
      <c r="B239" s="4"/>
      <c r="C239" s="4"/>
      <c r="D239" s="4"/>
      <c r="E239" s="4"/>
    </row>
    <row r="240" spans="1:5" x14ac:dyDescent="0.7">
      <c r="A240" s="5"/>
      <c r="B240" s="4"/>
      <c r="C240" s="4"/>
      <c r="D240" s="4"/>
      <c r="E240" s="4"/>
    </row>
    <row r="241" spans="1:5" x14ac:dyDescent="0.7">
      <c r="A241" s="5"/>
      <c r="B241" s="4"/>
      <c r="C241" s="4"/>
      <c r="D241" s="4"/>
      <c r="E241" s="4"/>
    </row>
    <row r="242" spans="1:5" x14ac:dyDescent="0.7">
      <c r="A242" s="5"/>
      <c r="B242" s="4"/>
      <c r="C242" s="4"/>
      <c r="D242" s="4"/>
      <c r="E242" s="4"/>
    </row>
    <row r="243" spans="1:5" x14ac:dyDescent="0.7">
      <c r="A243" s="5"/>
      <c r="B243" s="4"/>
      <c r="C243" s="4"/>
      <c r="D243" s="4"/>
      <c r="E243" s="4"/>
    </row>
  </sheetData>
  <mergeCells count="8">
    <mergeCell ref="A12:A16"/>
    <mergeCell ref="B12:B16"/>
    <mergeCell ref="A17:A22"/>
    <mergeCell ref="B17:B22"/>
    <mergeCell ref="A2:A6"/>
    <mergeCell ref="B2:B6"/>
    <mergeCell ref="A7:A11"/>
    <mergeCell ref="B7:B11"/>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2" id="{D762E357-C377-444C-BEF6-C5307771C9ED}">
            <xm:f>(OR(AND('C:\Users\Jaclyn.Mazzucchelli\AppData\Roaming\de-mydocs.corp.riotinto.org\mydocs$\Users\hannah.j.garnaut\Desktop\bne-homedrive1\homedrive$\Users\anthony.deakin\Desktop\[RT CRM Assessment Tool Final ENG 2018.xlsx]Chart'!#REF!=#REF!,#REF!=3,#REF!&lt;&gt;""),(AND('C:\Users\Jaclyn.Mazzucchelli\AppData\Roaming\de-mydocs.corp.riotinto.org\mydocs$\Users\hannah.j.garnaut\Desktop\bne-homedrive1\homedrive$\Users\anthony.deakin\Desktop\[RT CRM Assessment Tool Final ENG 2018.xlsx]Chart'!#REF!=#REF!,#REF!=3,#REF!&lt;&gt;"")),(AND('C:\Users\Jaclyn.Mazzucchelli\AppData\Roaming\de-mydocs.corp.riotinto.org\mydocs$\Users\hannah.j.garnaut\Desktop\bne-homedrive1\homedrive$\Users\anthony.deakin\Desktop\[RT CRM Assessment Tool Final ENG 2018.xlsx]Chart'!#REF!=#REF!,#REF!=3,#REF!&lt;&gt;""))))</xm:f>
            <x14:dxf>
              <font>
                <b/>
                <i val="0"/>
                <color auto="1"/>
              </font>
              <fill>
                <patternFill>
                  <bgColor rgb="FF92D050"/>
                </patternFill>
              </fill>
            </x14:dxf>
          </x14:cfRule>
          <xm:sqref>B2</xm:sqref>
        </x14:conditionalFormatting>
        <x14:conditionalFormatting xmlns:xm="http://schemas.microsoft.com/office/excel/2006/main">
          <x14:cfRule type="expression" priority="3" id="{CCB8A3C9-DCF1-4EFB-8221-B34E246AE3C0}">
            <xm:f>(OR(AND('C:\Users\Jaclyn.Mazzucchelli\AppData\Roaming\de-mydocs.corp.riotinto.org\mydocs$\Users\hannah.j.garnaut\Desktop\bne-homedrive1\homedrive$\Users\anthony.deakin\Desktop\[RT CRM Assessment Tool Final ENG 2018.xlsx]Chart'!#REF!=$F$21,#REF!=3,#REF!&lt;&gt;""),(AND('C:\Users\Jaclyn.Mazzucchelli\AppData\Roaming\de-mydocs.corp.riotinto.org\mydocs$\Users\hannah.j.garnaut\Desktop\bne-homedrive1\homedrive$\Users\anthony.deakin\Desktop\[RT CRM Assessment Tool Final ENG 2018.xlsx]Chart'!#REF!=$G$21,#REF!=3,#REF!&lt;&gt;"")),(AND('C:\Users\Jaclyn.Mazzucchelli\AppData\Roaming\de-mydocs.corp.riotinto.org\mydocs$\Users\hannah.j.garnaut\Desktop\bne-homedrive1\homedrive$\Users\anthony.deakin\Desktop\[RT CRM Assessment Tool Final ENG 2018.xlsx]Chart'!#REF!=#REF!,#REF!=3,#REF!&lt;&gt;""))))</xm:f>
            <x14:dxf>
              <font>
                <b/>
                <i val="0"/>
                <color auto="1"/>
              </font>
              <fill>
                <patternFill>
                  <bgColor rgb="FF92D050"/>
                </patternFill>
              </fill>
            </x14:dxf>
          </x14:cfRule>
          <xm:sqref>B7</xm:sqref>
        </x14:conditionalFormatting>
        <x14:conditionalFormatting xmlns:xm="http://schemas.microsoft.com/office/excel/2006/main">
          <x14:cfRule type="expression" priority="1" id="{65A71D36-50E5-437A-BCAF-9BCD97CF8F07}">
            <xm:f>(OR(AND('C:\Users\Jaclyn.Mazzucchelli\AppData\Roaming\de-mydocs.corp.riotinto.org\mydocs$\Users\hannah.j.garnaut\Desktop\bne-homedrive1\homedrive$\Users\anthony.deakin\Desktop\[RT CRM Assessment Tool Final ENG 2018.xlsx]Chart'!#REF!=#REF!,#REF!=3,#REF!&lt;&gt;""),(AND('C:\Users\Jaclyn.Mazzucchelli\AppData\Roaming\de-mydocs.corp.riotinto.org\mydocs$\Users\hannah.j.garnaut\Desktop\bne-homedrive1\homedrive$\Users\anthony.deakin\Desktop\[RT CRM Assessment Tool Final ENG 2018.xlsx]Chart'!#REF!=#REF!,#REF!=3,#REF!&lt;&gt;"")),(AND('C:\Users\Jaclyn.Mazzucchelli\AppData\Roaming\de-mydocs.corp.riotinto.org\mydocs$\Users\hannah.j.garnaut\Desktop\bne-homedrive1\homedrive$\Users\anthony.deakin\Desktop\[RT CRM Assessment Tool Final ENG 2018.xlsx]Chart'!#REF!=#REF!,#REF!=3,#REF!&lt;&gt;""))))</xm:f>
            <x14:dxf>
              <font>
                <b/>
                <i val="0"/>
                <color auto="1"/>
              </font>
              <fill>
                <patternFill>
                  <bgColor rgb="FF92D050"/>
                </patternFill>
              </fill>
            </x14:dxf>
          </x14:cfRule>
          <xm:sqref>B12 B17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E3EC7-5ADF-4CE2-8947-0C2151AC1A3D}">
  <sheetPr>
    <tabColor rgb="FFFFFF00"/>
  </sheetPr>
  <dimension ref="A1:JQ234"/>
  <sheetViews>
    <sheetView zoomScale="55" zoomScaleNormal="55" workbookViewId="0">
      <pane xSplit="2" ySplit="1" topLeftCell="C2" activePane="bottomRight" state="frozen"/>
      <selection pane="topRight" activeCell="C1" sqref="C1"/>
      <selection pane="bottomLeft" activeCell="A2" sqref="A2"/>
      <selection pane="bottomRight" activeCell="C6" sqref="C6"/>
    </sheetView>
  </sheetViews>
  <sheetFormatPr defaultColWidth="9.1328125" defaultRowHeight="23.25" x14ac:dyDescent="0.7"/>
  <cols>
    <col min="1" max="1" width="29.59765625" style="41" customWidth="1"/>
    <col min="2" max="2" width="72.73046875" style="33" customWidth="1"/>
    <col min="3" max="4" width="111" style="85" customWidth="1"/>
    <col min="5" max="5" width="119.3984375" style="86" customWidth="1"/>
    <col min="6" max="6" width="138.73046875" style="86" customWidth="1"/>
    <col min="7" max="277" width="9.1328125" style="32"/>
    <col min="278" max="16384" width="9.1328125" style="33"/>
  </cols>
  <sheetData>
    <row r="1" spans="1:277" s="30" customFormat="1" ht="63.85" customHeight="1" x14ac:dyDescent="0.7">
      <c r="A1" s="60"/>
      <c r="B1" s="60" t="s">
        <v>130</v>
      </c>
      <c r="C1" s="74" t="s">
        <v>135</v>
      </c>
      <c r="D1" s="74" t="s">
        <v>136</v>
      </c>
      <c r="E1" s="75" t="s">
        <v>132</v>
      </c>
      <c r="F1" s="75" t="s">
        <v>133</v>
      </c>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c r="EM1" s="29"/>
      <c r="EN1" s="29"/>
      <c r="EO1" s="29"/>
      <c r="EP1" s="29"/>
      <c r="EQ1" s="29"/>
      <c r="ER1" s="29"/>
      <c r="ES1" s="29"/>
      <c r="ET1" s="29"/>
      <c r="EU1" s="29"/>
      <c r="EV1" s="29"/>
      <c r="EW1" s="29"/>
      <c r="EX1" s="29"/>
      <c r="EY1" s="29"/>
      <c r="EZ1" s="29"/>
      <c r="FA1" s="29"/>
      <c r="FB1" s="29"/>
      <c r="FC1" s="29"/>
      <c r="FD1" s="29"/>
      <c r="FE1" s="29"/>
      <c r="FF1" s="29"/>
      <c r="FG1" s="29"/>
      <c r="FH1" s="29"/>
      <c r="FI1" s="29"/>
      <c r="FJ1" s="29"/>
      <c r="FK1" s="29"/>
      <c r="FL1" s="29"/>
      <c r="FM1" s="29"/>
      <c r="FN1" s="29"/>
      <c r="FO1" s="29"/>
      <c r="FP1" s="29"/>
      <c r="FQ1" s="29"/>
      <c r="FR1" s="29"/>
      <c r="FS1" s="29"/>
      <c r="FT1" s="29"/>
      <c r="FU1" s="29"/>
      <c r="FV1" s="29"/>
      <c r="FW1" s="29"/>
      <c r="FX1" s="29"/>
      <c r="FY1" s="29"/>
      <c r="FZ1" s="29"/>
      <c r="GA1" s="29"/>
      <c r="GB1" s="29"/>
      <c r="GC1" s="29"/>
      <c r="GD1" s="29"/>
      <c r="GE1" s="29"/>
      <c r="GF1" s="29"/>
      <c r="GG1" s="29"/>
      <c r="GH1" s="29"/>
      <c r="GI1" s="29"/>
      <c r="GJ1" s="29"/>
      <c r="GK1" s="29"/>
      <c r="GL1" s="29"/>
      <c r="GM1" s="29"/>
      <c r="GN1" s="29"/>
      <c r="GO1" s="29"/>
      <c r="GP1" s="29"/>
      <c r="GQ1" s="29"/>
      <c r="GR1" s="29"/>
      <c r="GS1" s="29"/>
      <c r="GT1" s="29"/>
      <c r="GU1" s="29"/>
      <c r="GV1" s="29"/>
      <c r="GW1" s="29"/>
      <c r="GX1" s="29"/>
      <c r="GY1" s="29"/>
      <c r="GZ1" s="29"/>
      <c r="HA1" s="29"/>
      <c r="HB1" s="29"/>
      <c r="HC1" s="29"/>
      <c r="HD1" s="29"/>
      <c r="HE1" s="29"/>
      <c r="HF1" s="29"/>
      <c r="HG1" s="29"/>
      <c r="HH1" s="29"/>
      <c r="HI1" s="29"/>
      <c r="HJ1" s="29"/>
      <c r="HK1" s="29"/>
      <c r="HL1" s="29"/>
      <c r="HM1" s="29"/>
      <c r="HN1" s="29"/>
      <c r="HO1" s="29"/>
      <c r="HP1" s="29"/>
      <c r="HQ1" s="29"/>
      <c r="HR1" s="29"/>
      <c r="HS1" s="29"/>
      <c r="HT1" s="29"/>
      <c r="HU1" s="29"/>
      <c r="HV1" s="29"/>
      <c r="HW1" s="29"/>
      <c r="HX1" s="29"/>
      <c r="HY1" s="29"/>
      <c r="HZ1" s="29"/>
      <c r="IA1" s="29"/>
      <c r="IB1" s="29"/>
      <c r="IC1" s="29"/>
      <c r="ID1" s="29"/>
      <c r="IE1" s="29"/>
      <c r="IF1" s="29"/>
      <c r="IG1" s="29"/>
      <c r="IH1" s="29"/>
      <c r="II1" s="29"/>
      <c r="IJ1" s="29"/>
      <c r="IK1" s="29"/>
      <c r="IL1" s="29"/>
      <c r="IM1" s="29"/>
      <c r="IN1" s="29"/>
      <c r="IO1" s="29"/>
      <c r="IP1" s="29"/>
      <c r="IQ1" s="29"/>
      <c r="IR1" s="29"/>
      <c r="IS1" s="29"/>
      <c r="IT1" s="29"/>
      <c r="IU1" s="29"/>
      <c r="IV1" s="29"/>
      <c r="IW1" s="29"/>
      <c r="IX1" s="29"/>
      <c r="IY1" s="29"/>
      <c r="IZ1" s="29"/>
      <c r="JA1" s="29"/>
      <c r="JB1" s="29"/>
      <c r="JC1" s="29"/>
      <c r="JD1" s="29"/>
      <c r="JE1" s="29"/>
      <c r="JF1" s="29"/>
      <c r="JG1" s="29"/>
      <c r="JH1" s="29"/>
      <c r="JI1" s="29"/>
      <c r="JJ1" s="29"/>
      <c r="JK1" s="29"/>
      <c r="JL1" s="29"/>
      <c r="JM1" s="29"/>
      <c r="JN1" s="29"/>
      <c r="JO1" s="29"/>
      <c r="JP1" s="29"/>
      <c r="JQ1" s="29"/>
    </row>
    <row r="2" spans="1:277" ht="409.5" customHeight="1" x14ac:dyDescent="0.45">
      <c r="A2" s="109" t="s">
        <v>19</v>
      </c>
      <c r="B2" s="35" t="s">
        <v>27</v>
      </c>
      <c r="C2" s="76" t="s">
        <v>134</v>
      </c>
      <c r="D2" s="76" t="s">
        <v>137</v>
      </c>
      <c r="E2" s="77" t="s">
        <v>154</v>
      </c>
      <c r="F2" s="78" t="s">
        <v>155</v>
      </c>
    </row>
    <row r="3" spans="1:277" ht="409.5" customHeight="1" x14ac:dyDescent="0.45">
      <c r="A3" s="109"/>
      <c r="B3" s="35" t="s">
        <v>28</v>
      </c>
      <c r="C3" s="78" t="s">
        <v>138</v>
      </c>
      <c r="D3" s="78" t="s">
        <v>139</v>
      </c>
      <c r="E3" s="79" t="s">
        <v>156</v>
      </c>
      <c r="F3" s="78" t="s">
        <v>157</v>
      </c>
    </row>
    <row r="4" spans="1:277" ht="63.85" customHeight="1" x14ac:dyDescent="0.45">
      <c r="A4" s="110" t="s">
        <v>20</v>
      </c>
      <c r="B4" s="60" t="s">
        <v>130</v>
      </c>
      <c r="C4" s="74" t="s">
        <v>131</v>
      </c>
      <c r="D4" s="74" t="s">
        <v>136</v>
      </c>
      <c r="E4" s="75" t="s">
        <v>132</v>
      </c>
      <c r="F4" s="75" t="s">
        <v>133</v>
      </c>
    </row>
    <row r="5" spans="1:277" ht="409.5" customHeight="1" x14ac:dyDescent="0.45">
      <c r="A5" s="111"/>
      <c r="B5" s="35" t="s">
        <v>29</v>
      </c>
      <c r="C5" s="78" t="s">
        <v>140</v>
      </c>
      <c r="D5" s="78" t="s">
        <v>141</v>
      </c>
      <c r="E5" s="79" t="s">
        <v>158</v>
      </c>
      <c r="F5" s="80" t="s">
        <v>159</v>
      </c>
    </row>
    <row r="6" spans="1:277" ht="409.5" customHeight="1" x14ac:dyDescent="0.45">
      <c r="A6" s="111"/>
      <c r="B6" s="35" t="s">
        <v>30</v>
      </c>
      <c r="C6" s="78" t="s">
        <v>142</v>
      </c>
      <c r="D6" s="78" t="s">
        <v>143</v>
      </c>
      <c r="E6" s="79" t="s">
        <v>160</v>
      </c>
      <c r="F6" s="81" t="s">
        <v>161</v>
      </c>
    </row>
    <row r="7" spans="1:277" ht="63.85" customHeight="1" x14ac:dyDescent="0.45">
      <c r="A7" s="112" t="s">
        <v>21</v>
      </c>
      <c r="B7" s="60" t="s">
        <v>130</v>
      </c>
      <c r="C7" s="74" t="s">
        <v>131</v>
      </c>
      <c r="D7" s="74" t="s">
        <v>136</v>
      </c>
      <c r="E7" s="75" t="s">
        <v>132</v>
      </c>
      <c r="F7" s="75" t="s">
        <v>133</v>
      </c>
    </row>
    <row r="8" spans="1:277" ht="409.5" customHeight="1" x14ac:dyDescent="0.45">
      <c r="A8" s="113"/>
      <c r="B8" s="35" t="s">
        <v>31</v>
      </c>
      <c r="C8" s="78" t="s">
        <v>144</v>
      </c>
      <c r="D8" s="78" t="s">
        <v>145</v>
      </c>
      <c r="E8" s="79" t="s">
        <v>162</v>
      </c>
      <c r="F8" s="80" t="s">
        <v>163</v>
      </c>
    </row>
    <row r="9" spans="1:277" ht="409.5" customHeight="1" x14ac:dyDescent="0.45">
      <c r="A9" s="114"/>
      <c r="B9" s="35" t="s">
        <v>32</v>
      </c>
      <c r="C9" s="78" t="s">
        <v>146</v>
      </c>
      <c r="D9" s="78" t="s">
        <v>147</v>
      </c>
      <c r="E9" s="82" t="s">
        <v>164</v>
      </c>
      <c r="F9" s="78" t="s">
        <v>165</v>
      </c>
    </row>
    <row r="10" spans="1:277" ht="63.85" customHeight="1" x14ac:dyDescent="0.45">
      <c r="A10" s="115" t="s">
        <v>22</v>
      </c>
      <c r="B10" s="60" t="s">
        <v>130</v>
      </c>
      <c r="C10" s="74" t="s">
        <v>131</v>
      </c>
      <c r="D10" s="74" t="s">
        <v>136</v>
      </c>
      <c r="E10" s="75" t="s">
        <v>132</v>
      </c>
      <c r="F10" s="75" t="s">
        <v>133</v>
      </c>
    </row>
    <row r="11" spans="1:277" ht="409.5" customHeight="1" x14ac:dyDescent="0.45">
      <c r="A11" s="116"/>
      <c r="B11" s="35" t="s">
        <v>33</v>
      </c>
      <c r="C11" s="78" t="s">
        <v>148</v>
      </c>
      <c r="D11" s="78" t="s">
        <v>149</v>
      </c>
      <c r="E11" s="79" t="s">
        <v>166</v>
      </c>
      <c r="F11" s="80" t="s">
        <v>167</v>
      </c>
    </row>
    <row r="12" spans="1:277" ht="409.5" customHeight="1" x14ac:dyDescent="0.45">
      <c r="A12" s="116"/>
      <c r="B12" s="35" t="s">
        <v>34</v>
      </c>
      <c r="C12" s="78" t="s">
        <v>150</v>
      </c>
      <c r="D12" s="78" t="s">
        <v>151</v>
      </c>
      <c r="E12" s="79" t="s">
        <v>168</v>
      </c>
      <c r="F12" s="80" t="s">
        <v>169</v>
      </c>
    </row>
    <row r="13" spans="1:277" ht="399" x14ac:dyDescent="0.45">
      <c r="A13" s="116"/>
      <c r="B13" s="35" t="s">
        <v>35</v>
      </c>
      <c r="C13" s="78" t="s">
        <v>152</v>
      </c>
      <c r="D13" s="78" t="s">
        <v>153</v>
      </c>
      <c r="E13" s="79" t="s">
        <v>170</v>
      </c>
      <c r="F13" s="80" t="s">
        <v>171</v>
      </c>
    </row>
    <row r="14" spans="1:277" s="32" customFormat="1" x14ac:dyDescent="0.7">
      <c r="A14" s="38"/>
      <c r="C14" s="83"/>
      <c r="D14" s="83"/>
      <c r="E14" s="84"/>
      <c r="F14" s="84"/>
    </row>
    <row r="15" spans="1:277" s="32" customFormat="1" x14ac:dyDescent="0.7">
      <c r="A15" s="38"/>
      <c r="C15" s="83"/>
      <c r="D15" s="83"/>
      <c r="E15" s="84"/>
      <c r="F15" s="84"/>
    </row>
    <row r="16" spans="1:277" s="32" customFormat="1" x14ac:dyDescent="0.7">
      <c r="A16" s="38"/>
      <c r="C16" s="83"/>
      <c r="D16" s="83"/>
      <c r="E16" s="84"/>
      <c r="F16" s="84"/>
    </row>
    <row r="17" spans="1:6" s="32" customFormat="1" x14ac:dyDescent="0.7">
      <c r="A17" s="38"/>
      <c r="C17" s="83"/>
      <c r="D17" s="83"/>
      <c r="E17" s="84"/>
      <c r="F17" s="84"/>
    </row>
    <row r="18" spans="1:6" s="32" customFormat="1" x14ac:dyDescent="0.7">
      <c r="A18" s="38"/>
      <c r="C18" s="83"/>
      <c r="D18" s="83"/>
      <c r="E18" s="84"/>
      <c r="F18" s="84"/>
    </row>
    <row r="19" spans="1:6" s="32" customFormat="1" x14ac:dyDescent="0.7">
      <c r="A19" s="38"/>
      <c r="C19" s="83"/>
      <c r="D19" s="83"/>
      <c r="E19" s="84"/>
      <c r="F19" s="84"/>
    </row>
    <row r="20" spans="1:6" s="32" customFormat="1" x14ac:dyDescent="0.7">
      <c r="A20" s="38"/>
      <c r="C20" s="83"/>
      <c r="D20" s="83"/>
      <c r="E20" s="84"/>
      <c r="F20" s="84"/>
    </row>
    <row r="21" spans="1:6" s="32" customFormat="1" x14ac:dyDescent="0.7">
      <c r="A21" s="38"/>
      <c r="C21" s="83"/>
      <c r="D21" s="83"/>
      <c r="E21" s="84"/>
      <c r="F21" s="84"/>
    </row>
    <row r="22" spans="1:6" s="32" customFormat="1" x14ac:dyDescent="0.7">
      <c r="A22" s="38"/>
      <c r="C22" s="83"/>
      <c r="D22" s="83"/>
      <c r="E22" s="84"/>
      <c r="F22" s="84"/>
    </row>
    <row r="23" spans="1:6" s="32" customFormat="1" x14ac:dyDescent="0.7">
      <c r="A23" s="38"/>
      <c r="C23" s="83"/>
      <c r="D23" s="83"/>
      <c r="E23" s="84"/>
      <c r="F23" s="84"/>
    </row>
    <row r="24" spans="1:6" s="32" customFormat="1" x14ac:dyDescent="0.7">
      <c r="A24" s="38"/>
      <c r="C24" s="83"/>
      <c r="D24" s="83"/>
      <c r="E24" s="84"/>
      <c r="F24" s="84"/>
    </row>
    <row r="25" spans="1:6" s="32" customFormat="1" x14ac:dyDescent="0.7">
      <c r="A25" s="38"/>
      <c r="C25" s="83"/>
      <c r="D25" s="83"/>
      <c r="E25" s="84"/>
      <c r="F25" s="84"/>
    </row>
    <row r="26" spans="1:6" s="32" customFormat="1" x14ac:dyDescent="0.7">
      <c r="A26" s="38"/>
      <c r="C26" s="83"/>
      <c r="D26" s="83"/>
      <c r="E26" s="84"/>
      <c r="F26" s="84"/>
    </row>
    <row r="27" spans="1:6" s="32" customFormat="1" x14ac:dyDescent="0.7">
      <c r="A27" s="38"/>
      <c r="C27" s="83"/>
      <c r="D27" s="83"/>
      <c r="E27" s="84"/>
      <c r="F27" s="84"/>
    </row>
    <row r="28" spans="1:6" s="32" customFormat="1" x14ac:dyDescent="0.7">
      <c r="A28" s="38"/>
      <c r="C28" s="83"/>
      <c r="D28" s="83"/>
      <c r="E28" s="84"/>
      <c r="F28" s="84"/>
    </row>
    <row r="29" spans="1:6" s="32" customFormat="1" x14ac:dyDescent="0.7">
      <c r="A29" s="38"/>
      <c r="C29" s="83"/>
      <c r="D29" s="83"/>
      <c r="E29" s="84"/>
      <c r="F29" s="84"/>
    </row>
    <row r="30" spans="1:6" s="32" customFormat="1" x14ac:dyDescent="0.7">
      <c r="A30" s="38"/>
      <c r="C30" s="83"/>
      <c r="D30" s="83"/>
      <c r="E30" s="84"/>
      <c r="F30" s="84"/>
    </row>
    <row r="31" spans="1:6" s="32" customFormat="1" x14ac:dyDescent="0.7">
      <c r="A31" s="38"/>
      <c r="C31" s="83"/>
      <c r="D31" s="83"/>
      <c r="E31" s="84"/>
      <c r="F31" s="84"/>
    </row>
    <row r="32" spans="1:6" s="32" customFormat="1" x14ac:dyDescent="0.7">
      <c r="A32" s="38"/>
      <c r="C32" s="83"/>
      <c r="D32" s="83"/>
      <c r="E32" s="84"/>
      <c r="F32" s="84"/>
    </row>
    <row r="33" spans="1:6" s="32" customFormat="1" x14ac:dyDescent="0.7">
      <c r="A33" s="38"/>
      <c r="C33" s="83"/>
      <c r="D33" s="83"/>
      <c r="E33" s="84"/>
      <c r="F33" s="84"/>
    </row>
    <row r="34" spans="1:6" s="32" customFormat="1" x14ac:dyDescent="0.7">
      <c r="A34" s="38"/>
      <c r="C34" s="83"/>
      <c r="D34" s="83"/>
      <c r="E34" s="84"/>
      <c r="F34" s="84"/>
    </row>
    <row r="35" spans="1:6" s="32" customFormat="1" x14ac:dyDescent="0.7">
      <c r="A35" s="38"/>
      <c r="C35" s="83"/>
      <c r="D35" s="83"/>
      <c r="E35" s="84"/>
      <c r="F35" s="84"/>
    </row>
    <row r="36" spans="1:6" s="32" customFormat="1" x14ac:dyDescent="0.7">
      <c r="A36" s="38"/>
      <c r="C36" s="83"/>
      <c r="D36" s="83"/>
      <c r="E36" s="84"/>
      <c r="F36" s="84"/>
    </row>
    <row r="37" spans="1:6" s="32" customFormat="1" x14ac:dyDescent="0.7">
      <c r="A37" s="38"/>
      <c r="C37" s="83"/>
      <c r="D37" s="83"/>
      <c r="E37" s="84"/>
      <c r="F37" s="84"/>
    </row>
    <row r="38" spans="1:6" s="32" customFormat="1" x14ac:dyDescent="0.7">
      <c r="A38" s="38"/>
      <c r="C38" s="83"/>
      <c r="D38" s="83"/>
      <c r="E38" s="84"/>
      <c r="F38" s="84"/>
    </row>
    <row r="39" spans="1:6" s="32" customFormat="1" x14ac:dyDescent="0.7">
      <c r="A39" s="38"/>
      <c r="C39" s="83"/>
      <c r="D39" s="83"/>
      <c r="E39" s="84"/>
      <c r="F39" s="84"/>
    </row>
    <row r="40" spans="1:6" s="32" customFormat="1" x14ac:dyDescent="0.7">
      <c r="A40" s="38"/>
      <c r="C40" s="83"/>
      <c r="D40" s="83"/>
      <c r="E40" s="84"/>
      <c r="F40" s="84"/>
    </row>
    <row r="41" spans="1:6" s="32" customFormat="1" x14ac:dyDescent="0.7">
      <c r="A41" s="38"/>
      <c r="C41" s="83"/>
      <c r="D41" s="83"/>
      <c r="E41" s="84"/>
      <c r="F41" s="84"/>
    </row>
    <row r="42" spans="1:6" s="32" customFormat="1" x14ac:dyDescent="0.7">
      <c r="A42" s="38"/>
      <c r="C42" s="83"/>
      <c r="D42" s="83"/>
      <c r="E42" s="84"/>
      <c r="F42" s="84"/>
    </row>
    <row r="43" spans="1:6" s="32" customFormat="1" x14ac:dyDescent="0.7">
      <c r="A43" s="38"/>
      <c r="C43" s="83"/>
      <c r="D43" s="83"/>
      <c r="E43" s="84"/>
      <c r="F43" s="84"/>
    </row>
    <row r="44" spans="1:6" s="32" customFormat="1" x14ac:dyDescent="0.7">
      <c r="A44" s="38"/>
      <c r="C44" s="83"/>
      <c r="D44" s="83"/>
      <c r="E44" s="84"/>
      <c r="F44" s="84"/>
    </row>
    <row r="45" spans="1:6" s="32" customFormat="1" x14ac:dyDescent="0.7">
      <c r="A45" s="38"/>
      <c r="C45" s="83"/>
      <c r="D45" s="83"/>
      <c r="E45" s="84"/>
      <c r="F45" s="84"/>
    </row>
    <row r="46" spans="1:6" s="32" customFormat="1" x14ac:dyDescent="0.7">
      <c r="A46" s="38"/>
      <c r="C46" s="83"/>
      <c r="D46" s="83"/>
      <c r="E46" s="84"/>
      <c r="F46" s="84"/>
    </row>
    <row r="47" spans="1:6" s="32" customFormat="1" x14ac:dyDescent="0.7">
      <c r="A47" s="38"/>
      <c r="C47" s="83"/>
      <c r="D47" s="83"/>
      <c r="E47" s="84"/>
      <c r="F47" s="84"/>
    </row>
    <row r="48" spans="1:6" s="32" customFormat="1" x14ac:dyDescent="0.7">
      <c r="A48" s="38"/>
      <c r="C48" s="83"/>
      <c r="D48" s="83"/>
      <c r="E48" s="84"/>
      <c r="F48" s="84"/>
    </row>
    <row r="49" spans="1:6" s="32" customFormat="1" x14ac:dyDescent="0.7">
      <c r="A49" s="38"/>
      <c r="C49" s="83"/>
      <c r="D49" s="83"/>
      <c r="E49" s="84"/>
      <c r="F49" s="84"/>
    </row>
    <row r="50" spans="1:6" s="32" customFormat="1" x14ac:dyDescent="0.7">
      <c r="A50" s="38"/>
      <c r="C50" s="83"/>
      <c r="D50" s="83"/>
      <c r="E50" s="84"/>
      <c r="F50" s="84"/>
    </row>
    <row r="51" spans="1:6" s="32" customFormat="1" x14ac:dyDescent="0.7">
      <c r="A51" s="38"/>
      <c r="C51" s="83"/>
      <c r="D51" s="83"/>
      <c r="E51" s="84"/>
      <c r="F51" s="84"/>
    </row>
    <row r="52" spans="1:6" s="32" customFormat="1" x14ac:dyDescent="0.7">
      <c r="A52" s="38"/>
      <c r="C52" s="83"/>
      <c r="D52" s="83"/>
      <c r="E52" s="84"/>
      <c r="F52" s="84"/>
    </row>
    <row r="53" spans="1:6" s="32" customFormat="1" x14ac:dyDescent="0.7">
      <c r="A53" s="38"/>
      <c r="C53" s="83"/>
      <c r="D53" s="83"/>
      <c r="E53" s="84"/>
      <c r="F53" s="84"/>
    </row>
    <row r="54" spans="1:6" s="32" customFormat="1" x14ac:dyDescent="0.7">
      <c r="A54" s="38"/>
      <c r="C54" s="83"/>
      <c r="D54" s="83"/>
      <c r="E54" s="84"/>
      <c r="F54" s="84"/>
    </row>
    <row r="55" spans="1:6" s="32" customFormat="1" x14ac:dyDescent="0.7">
      <c r="A55" s="38"/>
      <c r="C55" s="83"/>
      <c r="D55" s="83"/>
      <c r="E55" s="84"/>
      <c r="F55" s="84"/>
    </row>
    <row r="56" spans="1:6" s="32" customFormat="1" x14ac:dyDescent="0.7">
      <c r="A56" s="38"/>
      <c r="C56" s="83"/>
      <c r="D56" s="83"/>
      <c r="E56" s="84"/>
      <c r="F56" s="84"/>
    </row>
    <row r="57" spans="1:6" s="32" customFormat="1" x14ac:dyDescent="0.7">
      <c r="A57" s="38"/>
      <c r="C57" s="83"/>
      <c r="D57" s="83"/>
      <c r="E57" s="84"/>
      <c r="F57" s="84"/>
    </row>
    <row r="58" spans="1:6" s="32" customFormat="1" x14ac:dyDescent="0.7">
      <c r="A58" s="38"/>
      <c r="C58" s="83"/>
      <c r="D58" s="83"/>
      <c r="E58" s="84"/>
      <c r="F58" s="84"/>
    </row>
    <row r="59" spans="1:6" s="32" customFormat="1" x14ac:dyDescent="0.7">
      <c r="A59" s="38"/>
      <c r="C59" s="83"/>
      <c r="D59" s="83"/>
      <c r="E59" s="84"/>
      <c r="F59" s="84"/>
    </row>
    <row r="60" spans="1:6" s="32" customFormat="1" x14ac:dyDescent="0.7">
      <c r="A60" s="38"/>
      <c r="C60" s="83"/>
      <c r="D60" s="83"/>
      <c r="E60" s="84"/>
      <c r="F60" s="84"/>
    </row>
    <row r="61" spans="1:6" s="32" customFormat="1" x14ac:dyDescent="0.7">
      <c r="A61" s="38"/>
      <c r="C61" s="83"/>
      <c r="D61" s="83"/>
      <c r="E61" s="84"/>
      <c r="F61" s="84"/>
    </row>
    <row r="62" spans="1:6" s="32" customFormat="1" x14ac:dyDescent="0.7">
      <c r="A62" s="38"/>
      <c r="C62" s="83"/>
      <c r="D62" s="83"/>
      <c r="E62" s="84"/>
      <c r="F62" s="84"/>
    </row>
    <row r="63" spans="1:6" s="32" customFormat="1" x14ac:dyDescent="0.7">
      <c r="A63" s="38"/>
      <c r="C63" s="83"/>
      <c r="D63" s="83"/>
      <c r="E63" s="84"/>
      <c r="F63" s="84"/>
    </row>
    <row r="64" spans="1:6" s="32" customFormat="1" x14ac:dyDescent="0.7">
      <c r="A64" s="38"/>
      <c r="C64" s="83"/>
      <c r="D64" s="83"/>
      <c r="E64" s="84"/>
      <c r="F64" s="84"/>
    </row>
    <row r="65" spans="1:6" s="32" customFormat="1" x14ac:dyDescent="0.7">
      <c r="A65" s="38"/>
      <c r="C65" s="83"/>
      <c r="D65" s="83"/>
      <c r="E65" s="84"/>
      <c r="F65" s="84"/>
    </row>
    <row r="66" spans="1:6" s="32" customFormat="1" x14ac:dyDescent="0.7">
      <c r="A66" s="38"/>
      <c r="C66" s="83"/>
      <c r="D66" s="83"/>
      <c r="E66" s="84"/>
      <c r="F66" s="84"/>
    </row>
    <row r="67" spans="1:6" s="32" customFormat="1" x14ac:dyDescent="0.7">
      <c r="A67" s="38"/>
      <c r="C67" s="83"/>
      <c r="D67" s="83"/>
      <c r="E67" s="84"/>
      <c r="F67" s="84"/>
    </row>
    <row r="68" spans="1:6" s="32" customFormat="1" x14ac:dyDescent="0.7">
      <c r="A68" s="38"/>
      <c r="C68" s="83"/>
      <c r="D68" s="83"/>
      <c r="E68" s="84"/>
      <c r="F68" s="84"/>
    </row>
    <row r="69" spans="1:6" s="32" customFormat="1" x14ac:dyDescent="0.7">
      <c r="A69" s="38"/>
      <c r="C69" s="83"/>
      <c r="D69" s="83"/>
      <c r="E69" s="84"/>
      <c r="F69" s="84"/>
    </row>
    <row r="70" spans="1:6" s="32" customFormat="1" x14ac:dyDescent="0.7">
      <c r="A70" s="38"/>
      <c r="C70" s="83"/>
      <c r="D70" s="83"/>
      <c r="E70" s="84"/>
      <c r="F70" s="84"/>
    </row>
    <row r="71" spans="1:6" s="32" customFormat="1" x14ac:dyDescent="0.7">
      <c r="A71" s="38"/>
      <c r="C71" s="83"/>
      <c r="D71" s="83"/>
      <c r="E71" s="84"/>
      <c r="F71" s="84"/>
    </row>
    <row r="72" spans="1:6" s="32" customFormat="1" x14ac:dyDescent="0.7">
      <c r="A72" s="38"/>
      <c r="C72" s="83"/>
      <c r="D72" s="83"/>
      <c r="E72" s="84"/>
      <c r="F72" s="84"/>
    </row>
    <row r="73" spans="1:6" s="32" customFormat="1" x14ac:dyDescent="0.7">
      <c r="A73" s="38"/>
      <c r="C73" s="83"/>
      <c r="D73" s="83"/>
      <c r="E73" s="84"/>
      <c r="F73" s="84"/>
    </row>
    <row r="74" spans="1:6" s="32" customFormat="1" x14ac:dyDescent="0.7">
      <c r="A74" s="38"/>
      <c r="C74" s="83"/>
      <c r="D74" s="83"/>
      <c r="E74" s="84"/>
      <c r="F74" s="84"/>
    </row>
    <row r="75" spans="1:6" s="32" customFormat="1" x14ac:dyDescent="0.7">
      <c r="A75" s="38"/>
      <c r="C75" s="83"/>
      <c r="D75" s="83"/>
      <c r="E75" s="84"/>
      <c r="F75" s="84"/>
    </row>
    <row r="76" spans="1:6" s="32" customFormat="1" x14ac:dyDescent="0.7">
      <c r="A76" s="38"/>
      <c r="C76" s="83"/>
      <c r="D76" s="83"/>
      <c r="E76" s="84"/>
      <c r="F76" s="84"/>
    </row>
    <row r="77" spans="1:6" s="32" customFormat="1" x14ac:dyDescent="0.7">
      <c r="A77" s="38"/>
      <c r="C77" s="83"/>
      <c r="D77" s="83"/>
      <c r="E77" s="84"/>
      <c r="F77" s="84"/>
    </row>
    <row r="78" spans="1:6" s="32" customFormat="1" x14ac:dyDescent="0.7">
      <c r="A78" s="38"/>
      <c r="C78" s="83"/>
      <c r="D78" s="83"/>
      <c r="E78" s="84"/>
      <c r="F78" s="84"/>
    </row>
    <row r="79" spans="1:6" s="32" customFormat="1" x14ac:dyDescent="0.7">
      <c r="A79" s="38"/>
      <c r="C79" s="83"/>
      <c r="D79" s="83"/>
      <c r="E79" s="84"/>
      <c r="F79" s="84"/>
    </row>
    <row r="80" spans="1:6" s="32" customFormat="1" x14ac:dyDescent="0.7">
      <c r="A80" s="38"/>
      <c r="C80" s="83"/>
      <c r="D80" s="83"/>
      <c r="E80" s="84"/>
      <c r="F80" s="84"/>
    </row>
    <row r="81" spans="1:6" s="32" customFormat="1" x14ac:dyDescent="0.7">
      <c r="A81" s="38"/>
      <c r="C81" s="83"/>
      <c r="D81" s="83"/>
      <c r="E81" s="84"/>
      <c r="F81" s="84"/>
    </row>
    <row r="82" spans="1:6" s="32" customFormat="1" x14ac:dyDescent="0.7">
      <c r="A82" s="38"/>
      <c r="C82" s="83"/>
      <c r="D82" s="83"/>
      <c r="E82" s="84"/>
      <c r="F82" s="84"/>
    </row>
    <row r="83" spans="1:6" s="32" customFormat="1" x14ac:dyDescent="0.7">
      <c r="A83" s="38"/>
      <c r="C83" s="83"/>
      <c r="D83" s="83"/>
      <c r="E83" s="84"/>
      <c r="F83" s="84"/>
    </row>
    <row r="84" spans="1:6" s="32" customFormat="1" x14ac:dyDescent="0.7">
      <c r="A84" s="38"/>
      <c r="C84" s="83"/>
      <c r="D84" s="83"/>
      <c r="E84" s="84"/>
      <c r="F84" s="84"/>
    </row>
    <row r="85" spans="1:6" s="32" customFormat="1" x14ac:dyDescent="0.7">
      <c r="A85" s="38"/>
      <c r="C85" s="83"/>
      <c r="D85" s="83"/>
      <c r="E85" s="84"/>
      <c r="F85" s="84"/>
    </row>
    <row r="86" spans="1:6" s="32" customFormat="1" x14ac:dyDescent="0.7">
      <c r="A86" s="38"/>
      <c r="C86" s="83"/>
      <c r="D86" s="83"/>
      <c r="E86" s="84"/>
      <c r="F86" s="84"/>
    </row>
    <row r="87" spans="1:6" s="32" customFormat="1" x14ac:dyDescent="0.7">
      <c r="A87" s="38"/>
      <c r="C87" s="83"/>
      <c r="D87" s="83"/>
      <c r="E87" s="84"/>
      <c r="F87" s="84"/>
    </row>
    <row r="88" spans="1:6" s="32" customFormat="1" x14ac:dyDescent="0.7">
      <c r="A88" s="38"/>
      <c r="C88" s="83"/>
      <c r="D88" s="83"/>
      <c r="E88" s="84"/>
      <c r="F88" s="84"/>
    </row>
    <row r="89" spans="1:6" s="32" customFormat="1" x14ac:dyDescent="0.7">
      <c r="A89" s="38"/>
      <c r="C89" s="83"/>
      <c r="D89" s="83"/>
      <c r="E89" s="84"/>
      <c r="F89" s="84"/>
    </row>
    <row r="90" spans="1:6" s="32" customFormat="1" x14ac:dyDescent="0.7">
      <c r="A90" s="38"/>
      <c r="C90" s="83"/>
      <c r="D90" s="83"/>
      <c r="E90" s="84"/>
      <c r="F90" s="84"/>
    </row>
    <row r="91" spans="1:6" s="32" customFormat="1" x14ac:dyDescent="0.7">
      <c r="A91" s="38"/>
      <c r="C91" s="83"/>
      <c r="D91" s="83"/>
      <c r="E91" s="84"/>
      <c r="F91" s="84"/>
    </row>
    <row r="92" spans="1:6" s="32" customFormat="1" x14ac:dyDescent="0.7">
      <c r="A92" s="38"/>
      <c r="C92" s="83"/>
      <c r="D92" s="83"/>
      <c r="E92" s="84"/>
      <c r="F92" s="84"/>
    </row>
    <row r="93" spans="1:6" s="32" customFormat="1" x14ac:dyDescent="0.7">
      <c r="A93" s="38"/>
      <c r="C93" s="83"/>
      <c r="D93" s="83"/>
      <c r="E93" s="84"/>
      <c r="F93" s="84"/>
    </row>
    <row r="94" spans="1:6" s="32" customFormat="1" x14ac:dyDescent="0.7">
      <c r="A94" s="38"/>
      <c r="C94" s="83"/>
      <c r="D94" s="83"/>
      <c r="E94" s="84"/>
      <c r="F94" s="84"/>
    </row>
    <row r="95" spans="1:6" s="32" customFormat="1" x14ac:dyDescent="0.7">
      <c r="A95" s="38"/>
      <c r="C95" s="83"/>
      <c r="D95" s="83"/>
      <c r="E95" s="84"/>
      <c r="F95" s="84"/>
    </row>
    <row r="96" spans="1:6" s="32" customFormat="1" x14ac:dyDescent="0.7">
      <c r="A96" s="38"/>
      <c r="C96" s="83"/>
      <c r="D96" s="83"/>
      <c r="E96" s="84"/>
      <c r="F96" s="84"/>
    </row>
    <row r="97" spans="1:6" s="32" customFormat="1" x14ac:dyDescent="0.7">
      <c r="A97" s="38"/>
      <c r="C97" s="83"/>
      <c r="D97" s="83"/>
      <c r="E97" s="84"/>
      <c r="F97" s="84"/>
    </row>
    <row r="98" spans="1:6" s="32" customFormat="1" x14ac:dyDescent="0.7">
      <c r="A98" s="38"/>
      <c r="C98" s="83"/>
      <c r="D98" s="83"/>
      <c r="E98" s="84"/>
      <c r="F98" s="84"/>
    </row>
    <row r="99" spans="1:6" s="32" customFormat="1" x14ac:dyDescent="0.7">
      <c r="A99" s="38"/>
      <c r="C99" s="83"/>
      <c r="D99" s="83"/>
      <c r="E99" s="84"/>
      <c r="F99" s="84"/>
    </row>
    <row r="100" spans="1:6" s="32" customFormat="1" x14ac:dyDescent="0.7">
      <c r="A100" s="38"/>
      <c r="C100" s="83"/>
      <c r="D100" s="83"/>
      <c r="E100" s="84"/>
      <c r="F100" s="84"/>
    </row>
    <row r="101" spans="1:6" s="32" customFormat="1" x14ac:dyDescent="0.7">
      <c r="A101" s="38"/>
      <c r="C101" s="83"/>
      <c r="D101" s="83"/>
      <c r="E101" s="84"/>
      <c r="F101" s="84"/>
    </row>
    <row r="102" spans="1:6" s="32" customFormat="1" x14ac:dyDescent="0.7">
      <c r="A102" s="38"/>
      <c r="C102" s="83"/>
      <c r="D102" s="83"/>
      <c r="E102" s="84"/>
      <c r="F102" s="84"/>
    </row>
    <row r="103" spans="1:6" s="32" customFormat="1" x14ac:dyDescent="0.7">
      <c r="A103" s="38"/>
      <c r="C103" s="83"/>
      <c r="D103" s="83"/>
      <c r="E103" s="84"/>
      <c r="F103" s="84"/>
    </row>
    <row r="104" spans="1:6" s="32" customFormat="1" x14ac:dyDescent="0.7">
      <c r="A104" s="38"/>
      <c r="C104" s="83"/>
      <c r="D104" s="83"/>
      <c r="E104" s="84"/>
      <c r="F104" s="84"/>
    </row>
    <row r="105" spans="1:6" s="32" customFormat="1" x14ac:dyDescent="0.7">
      <c r="A105" s="38"/>
      <c r="C105" s="83"/>
      <c r="D105" s="83"/>
      <c r="E105" s="84"/>
      <c r="F105" s="84"/>
    </row>
    <row r="106" spans="1:6" s="32" customFormat="1" x14ac:dyDescent="0.7">
      <c r="A106" s="38"/>
      <c r="C106" s="83"/>
      <c r="D106" s="83"/>
      <c r="E106" s="84"/>
      <c r="F106" s="84"/>
    </row>
    <row r="107" spans="1:6" s="32" customFormat="1" x14ac:dyDescent="0.7">
      <c r="A107" s="38"/>
      <c r="C107" s="83"/>
      <c r="D107" s="83"/>
      <c r="E107" s="84"/>
      <c r="F107" s="84"/>
    </row>
    <row r="108" spans="1:6" s="32" customFormat="1" x14ac:dyDescent="0.7">
      <c r="A108" s="38"/>
      <c r="C108" s="83"/>
      <c r="D108" s="83"/>
      <c r="E108" s="84"/>
      <c r="F108" s="84"/>
    </row>
    <row r="109" spans="1:6" s="32" customFormat="1" x14ac:dyDescent="0.7">
      <c r="A109" s="38"/>
      <c r="C109" s="83"/>
      <c r="D109" s="83"/>
      <c r="E109" s="84"/>
      <c r="F109" s="84"/>
    </row>
    <row r="110" spans="1:6" s="32" customFormat="1" x14ac:dyDescent="0.7">
      <c r="A110" s="38"/>
      <c r="C110" s="83"/>
      <c r="D110" s="83"/>
      <c r="E110" s="84"/>
      <c r="F110" s="84"/>
    </row>
    <row r="111" spans="1:6" s="32" customFormat="1" x14ac:dyDescent="0.7">
      <c r="A111" s="38"/>
      <c r="C111" s="83"/>
      <c r="D111" s="83"/>
      <c r="E111" s="84"/>
      <c r="F111" s="84"/>
    </row>
    <row r="112" spans="1:6" s="32" customFormat="1" x14ac:dyDescent="0.7">
      <c r="A112" s="38"/>
      <c r="C112" s="83"/>
      <c r="D112" s="83"/>
      <c r="E112" s="84"/>
      <c r="F112" s="84"/>
    </row>
    <row r="113" spans="1:6" s="32" customFormat="1" x14ac:dyDescent="0.7">
      <c r="A113" s="38"/>
      <c r="C113" s="83"/>
      <c r="D113" s="83"/>
      <c r="E113" s="84"/>
      <c r="F113" s="84"/>
    </row>
    <row r="114" spans="1:6" s="32" customFormat="1" x14ac:dyDescent="0.7">
      <c r="A114" s="38"/>
      <c r="C114" s="83"/>
      <c r="D114" s="83"/>
      <c r="E114" s="84"/>
      <c r="F114" s="84"/>
    </row>
    <row r="115" spans="1:6" s="32" customFormat="1" x14ac:dyDescent="0.7">
      <c r="A115" s="38"/>
      <c r="C115" s="83"/>
      <c r="D115" s="83"/>
      <c r="E115" s="84"/>
      <c r="F115" s="84"/>
    </row>
    <row r="116" spans="1:6" s="32" customFormat="1" x14ac:dyDescent="0.7">
      <c r="A116" s="38"/>
      <c r="C116" s="83"/>
      <c r="D116" s="83"/>
      <c r="E116" s="84"/>
      <c r="F116" s="84"/>
    </row>
    <row r="117" spans="1:6" s="32" customFormat="1" x14ac:dyDescent="0.7">
      <c r="A117" s="38"/>
      <c r="C117" s="83"/>
      <c r="D117" s="83"/>
      <c r="E117" s="84"/>
      <c r="F117" s="84"/>
    </row>
    <row r="118" spans="1:6" s="32" customFormat="1" x14ac:dyDescent="0.7">
      <c r="A118" s="38"/>
      <c r="C118" s="83"/>
      <c r="D118" s="83"/>
      <c r="E118" s="84"/>
      <c r="F118" s="84"/>
    </row>
    <row r="119" spans="1:6" s="32" customFormat="1" x14ac:dyDescent="0.7">
      <c r="A119" s="38"/>
      <c r="C119" s="83"/>
      <c r="D119" s="83"/>
      <c r="E119" s="84"/>
      <c r="F119" s="84"/>
    </row>
    <row r="120" spans="1:6" s="32" customFormat="1" x14ac:dyDescent="0.7">
      <c r="A120" s="38"/>
      <c r="C120" s="83"/>
      <c r="D120" s="83"/>
      <c r="E120" s="84"/>
      <c r="F120" s="84"/>
    </row>
    <row r="121" spans="1:6" s="32" customFormat="1" x14ac:dyDescent="0.7">
      <c r="A121" s="38"/>
      <c r="C121" s="83"/>
      <c r="D121" s="83"/>
      <c r="E121" s="84"/>
      <c r="F121" s="84"/>
    </row>
    <row r="122" spans="1:6" s="32" customFormat="1" x14ac:dyDescent="0.7">
      <c r="A122" s="38"/>
      <c r="C122" s="83"/>
      <c r="D122" s="83"/>
      <c r="E122" s="84"/>
      <c r="F122" s="84"/>
    </row>
    <row r="123" spans="1:6" s="32" customFormat="1" x14ac:dyDescent="0.7">
      <c r="A123" s="38"/>
      <c r="C123" s="83"/>
      <c r="D123" s="83"/>
      <c r="E123" s="84"/>
      <c r="F123" s="84"/>
    </row>
    <row r="124" spans="1:6" s="32" customFormat="1" x14ac:dyDescent="0.7">
      <c r="A124" s="38"/>
      <c r="C124" s="83"/>
      <c r="D124" s="83"/>
      <c r="E124" s="84"/>
      <c r="F124" s="84"/>
    </row>
    <row r="125" spans="1:6" s="32" customFormat="1" x14ac:dyDescent="0.7">
      <c r="A125" s="38"/>
      <c r="C125" s="83"/>
      <c r="D125" s="83"/>
      <c r="E125" s="84"/>
      <c r="F125" s="84"/>
    </row>
    <row r="126" spans="1:6" s="32" customFormat="1" x14ac:dyDescent="0.7">
      <c r="A126" s="38"/>
      <c r="C126" s="83"/>
      <c r="D126" s="83"/>
      <c r="E126" s="84"/>
      <c r="F126" s="84"/>
    </row>
    <row r="127" spans="1:6" s="32" customFormat="1" x14ac:dyDescent="0.7">
      <c r="A127" s="38"/>
      <c r="C127" s="83"/>
      <c r="D127" s="83"/>
      <c r="E127" s="84"/>
      <c r="F127" s="84"/>
    </row>
    <row r="128" spans="1:6" s="32" customFormat="1" x14ac:dyDescent="0.7">
      <c r="A128" s="38"/>
      <c r="C128" s="83"/>
      <c r="D128" s="83"/>
      <c r="E128" s="84"/>
      <c r="F128" s="84"/>
    </row>
    <row r="129" spans="1:6" s="32" customFormat="1" x14ac:dyDescent="0.7">
      <c r="A129" s="38"/>
      <c r="C129" s="83"/>
      <c r="D129" s="83"/>
      <c r="E129" s="84"/>
      <c r="F129" s="84"/>
    </row>
    <row r="130" spans="1:6" s="32" customFormat="1" x14ac:dyDescent="0.7">
      <c r="A130" s="38"/>
      <c r="C130" s="83"/>
      <c r="D130" s="83"/>
      <c r="E130" s="84"/>
      <c r="F130" s="84"/>
    </row>
    <row r="131" spans="1:6" s="32" customFormat="1" x14ac:dyDescent="0.7">
      <c r="A131" s="38"/>
      <c r="C131" s="83"/>
      <c r="D131" s="83"/>
      <c r="E131" s="84"/>
      <c r="F131" s="84"/>
    </row>
    <row r="132" spans="1:6" s="32" customFormat="1" x14ac:dyDescent="0.7">
      <c r="A132" s="38"/>
      <c r="C132" s="83"/>
      <c r="D132" s="83"/>
      <c r="E132" s="84"/>
      <c r="F132" s="84"/>
    </row>
    <row r="133" spans="1:6" s="32" customFormat="1" x14ac:dyDescent="0.7">
      <c r="A133" s="38"/>
      <c r="C133" s="83"/>
      <c r="D133" s="83"/>
      <c r="E133" s="84"/>
      <c r="F133" s="84"/>
    </row>
    <row r="134" spans="1:6" s="32" customFormat="1" x14ac:dyDescent="0.7">
      <c r="A134" s="38"/>
      <c r="C134" s="83"/>
      <c r="D134" s="83"/>
      <c r="E134" s="84"/>
      <c r="F134" s="84"/>
    </row>
    <row r="135" spans="1:6" s="32" customFormat="1" x14ac:dyDescent="0.7">
      <c r="A135" s="38"/>
      <c r="C135" s="83"/>
      <c r="D135" s="83"/>
      <c r="E135" s="84"/>
      <c r="F135" s="84"/>
    </row>
    <row r="136" spans="1:6" s="32" customFormat="1" x14ac:dyDescent="0.7">
      <c r="A136" s="38"/>
      <c r="C136" s="83"/>
      <c r="D136" s="83"/>
      <c r="E136" s="84"/>
      <c r="F136" s="84"/>
    </row>
    <row r="137" spans="1:6" s="32" customFormat="1" x14ac:dyDescent="0.7">
      <c r="A137" s="38"/>
      <c r="C137" s="83"/>
      <c r="D137" s="83"/>
      <c r="E137" s="84"/>
      <c r="F137" s="84"/>
    </row>
    <row r="138" spans="1:6" s="32" customFormat="1" x14ac:dyDescent="0.7">
      <c r="A138" s="38"/>
      <c r="C138" s="83"/>
      <c r="D138" s="83"/>
      <c r="E138" s="84"/>
      <c r="F138" s="84"/>
    </row>
    <row r="139" spans="1:6" s="32" customFormat="1" x14ac:dyDescent="0.7">
      <c r="A139" s="38"/>
      <c r="C139" s="83"/>
      <c r="D139" s="83"/>
      <c r="E139" s="84"/>
      <c r="F139" s="84"/>
    </row>
    <row r="140" spans="1:6" s="32" customFormat="1" x14ac:dyDescent="0.7">
      <c r="A140" s="38"/>
      <c r="C140" s="83"/>
      <c r="D140" s="83"/>
      <c r="E140" s="84"/>
      <c r="F140" s="84"/>
    </row>
    <row r="141" spans="1:6" s="32" customFormat="1" x14ac:dyDescent="0.7">
      <c r="A141" s="38"/>
      <c r="C141" s="83"/>
      <c r="D141" s="83"/>
      <c r="E141" s="84"/>
      <c r="F141" s="84"/>
    </row>
    <row r="142" spans="1:6" s="32" customFormat="1" x14ac:dyDescent="0.7">
      <c r="A142" s="38"/>
      <c r="C142" s="83"/>
      <c r="D142" s="83"/>
      <c r="E142" s="84"/>
      <c r="F142" s="84"/>
    </row>
    <row r="143" spans="1:6" s="32" customFormat="1" x14ac:dyDescent="0.7">
      <c r="A143" s="38"/>
      <c r="C143" s="83"/>
      <c r="D143" s="83"/>
      <c r="E143" s="84"/>
      <c r="F143" s="84"/>
    </row>
    <row r="144" spans="1:6" s="32" customFormat="1" x14ac:dyDescent="0.7">
      <c r="A144" s="38"/>
      <c r="C144" s="83"/>
      <c r="D144" s="83"/>
      <c r="E144" s="84"/>
      <c r="F144" s="84"/>
    </row>
    <row r="145" spans="1:6" s="32" customFormat="1" x14ac:dyDescent="0.7">
      <c r="A145" s="38"/>
      <c r="C145" s="83"/>
      <c r="D145" s="83"/>
      <c r="E145" s="84"/>
      <c r="F145" s="84"/>
    </row>
    <row r="146" spans="1:6" s="32" customFormat="1" x14ac:dyDescent="0.7">
      <c r="A146" s="38"/>
      <c r="C146" s="83"/>
      <c r="D146" s="83"/>
      <c r="E146" s="84"/>
      <c r="F146" s="84"/>
    </row>
    <row r="147" spans="1:6" s="32" customFormat="1" x14ac:dyDescent="0.7">
      <c r="A147" s="38"/>
      <c r="C147" s="83"/>
      <c r="D147" s="83"/>
      <c r="E147" s="84"/>
      <c r="F147" s="84"/>
    </row>
    <row r="148" spans="1:6" s="32" customFormat="1" x14ac:dyDescent="0.7">
      <c r="A148" s="38"/>
      <c r="C148" s="83"/>
      <c r="D148" s="83"/>
      <c r="E148" s="84"/>
      <c r="F148" s="84"/>
    </row>
    <row r="149" spans="1:6" s="32" customFormat="1" x14ac:dyDescent="0.7">
      <c r="A149" s="38"/>
      <c r="C149" s="83"/>
      <c r="D149" s="83"/>
      <c r="E149" s="84"/>
      <c r="F149" s="84"/>
    </row>
    <row r="150" spans="1:6" s="32" customFormat="1" x14ac:dyDescent="0.7">
      <c r="A150" s="38"/>
      <c r="C150" s="83"/>
      <c r="D150" s="83"/>
      <c r="E150" s="84"/>
      <c r="F150" s="84"/>
    </row>
    <row r="151" spans="1:6" s="32" customFormat="1" x14ac:dyDescent="0.7">
      <c r="A151" s="38"/>
      <c r="C151" s="83"/>
      <c r="D151" s="83"/>
      <c r="E151" s="84"/>
      <c r="F151" s="84"/>
    </row>
    <row r="152" spans="1:6" s="32" customFormat="1" x14ac:dyDescent="0.7">
      <c r="A152" s="38"/>
      <c r="C152" s="83"/>
      <c r="D152" s="83"/>
      <c r="E152" s="84"/>
      <c r="F152" s="84"/>
    </row>
    <row r="153" spans="1:6" s="32" customFormat="1" x14ac:dyDescent="0.7">
      <c r="A153" s="38"/>
      <c r="C153" s="83"/>
      <c r="D153" s="83"/>
      <c r="E153" s="84"/>
      <c r="F153" s="84"/>
    </row>
    <row r="154" spans="1:6" s="32" customFormat="1" x14ac:dyDescent="0.7">
      <c r="A154" s="38"/>
      <c r="C154" s="83"/>
      <c r="D154" s="83"/>
      <c r="E154" s="84"/>
      <c r="F154" s="84"/>
    </row>
    <row r="155" spans="1:6" s="32" customFormat="1" x14ac:dyDescent="0.7">
      <c r="A155" s="38"/>
      <c r="C155" s="83"/>
      <c r="D155" s="83"/>
      <c r="E155" s="84"/>
      <c r="F155" s="84"/>
    </row>
    <row r="156" spans="1:6" s="32" customFormat="1" x14ac:dyDescent="0.7">
      <c r="A156" s="38"/>
      <c r="C156" s="83"/>
      <c r="D156" s="83"/>
      <c r="E156" s="84"/>
      <c r="F156" s="84"/>
    </row>
    <row r="157" spans="1:6" s="32" customFormat="1" x14ac:dyDescent="0.7">
      <c r="A157" s="38"/>
      <c r="C157" s="83"/>
      <c r="D157" s="83"/>
      <c r="E157" s="84"/>
      <c r="F157" s="84"/>
    </row>
    <row r="158" spans="1:6" s="32" customFormat="1" x14ac:dyDescent="0.7">
      <c r="A158" s="38"/>
      <c r="C158" s="83"/>
      <c r="D158" s="83"/>
      <c r="E158" s="84"/>
      <c r="F158" s="84"/>
    </row>
    <row r="159" spans="1:6" s="32" customFormat="1" x14ac:dyDescent="0.7">
      <c r="A159" s="38"/>
      <c r="C159" s="83"/>
      <c r="D159" s="83"/>
      <c r="E159" s="84"/>
      <c r="F159" s="84"/>
    </row>
    <row r="160" spans="1:6" s="32" customFormat="1" x14ac:dyDescent="0.7">
      <c r="A160" s="38"/>
      <c r="C160" s="83"/>
      <c r="D160" s="83"/>
      <c r="E160" s="84"/>
      <c r="F160" s="84"/>
    </row>
    <row r="161" spans="1:6" s="32" customFormat="1" x14ac:dyDescent="0.7">
      <c r="A161" s="38"/>
      <c r="C161" s="83"/>
      <c r="D161" s="83"/>
      <c r="E161" s="84"/>
      <c r="F161" s="84"/>
    </row>
    <row r="162" spans="1:6" s="32" customFormat="1" x14ac:dyDescent="0.7">
      <c r="A162" s="38"/>
      <c r="C162" s="83"/>
      <c r="D162" s="83"/>
      <c r="E162" s="84"/>
      <c r="F162" s="84"/>
    </row>
    <row r="163" spans="1:6" s="32" customFormat="1" x14ac:dyDescent="0.7">
      <c r="A163" s="38"/>
      <c r="C163" s="83"/>
      <c r="D163" s="83"/>
      <c r="E163" s="84"/>
      <c r="F163" s="84"/>
    </row>
    <row r="164" spans="1:6" s="32" customFormat="1" x14ac:dyDescent="0.7">
      <c r="A164" s="38"/>
      <c r="C164" s="83"/>
      <c r="D164" s="83"/>
      <c r="E164" s="84"/>
      <c r="F164" s="84"/>
    </row>
    <row r="165" spans="1:6" s="32" customFormat="1" x14ac:dyDescent="0.7">
      <c r="A165" s="38"/>
      <c r="C165" s="83"/>
      <c r="D165" s="83"/>
      <c r="E165" s="84"/>
      <c r="F165" s="84"/>
    </row>
    <row r="166" spans="1:6" s="32" customFormat="1" x14ac:dyDescent="0.7">
      <c r="A166" s="38"/>
      <c r="C166" s="83"/>
      <c r="D166" s="83"/>
      <c r="E166" s="84"/>
      <c r="F166" s="84"/>
    </row>
    <row r="167" spans="1:6" s="32" customFormat="1" x14ac:dyDescent="0.7">
      <c r="A167" s="38"/>
      <c r="C167" s="83"/>
      <c r="D167" s="83"/>
      <c r="E167" s="84"/>
      <c r="F167" s="84"/>
    </row>
    <row r="168" spans="1:6" s="32" customFormat="1" x14ac:dyDescent="0.7">
      <c r="A168" s="38"/>
      <c r="C168" s="83"/>
      <c r="D168" s="83"/>
      <c r="E168" s="84"/>
      <c r="F168" s="84"/>
    </row>
    <row r="169" spans="1:6" s="32" customFormat="1" x14ac:dyDescent="0.7">
      <c r="A169" s="38"/>
      <c r="C169" s="83"/>
      <c r="D169" s="83"/>
      <c r="E169" s="84"/>
      <c r="F169" s="84"/>
    </row>
    <row r="170" spans="1:6" s="32" customFormat="1" x14ac:dyDescent="0.7">
      <c r="A170" s="38"/>
      <c r="C170" s="83"/>
      <c r="D170" s="83"/>
      <c r="E170" s="84"/>
      <c r="F170" s="84"/>
    </row>
    <row r="171" spans="1:6" s="32" customFormat="1" x14ac:dyDescent="0.7">
      <c r="A171" s="38"/>
      <c r="C171" s="83"/>
      <c r="D171" s="83"/>
      <c r="E171" s="84"/>
      <c r="F171" s="84"/>
    </row>
    <row r="172" spans="1:6" s="32" customFormat="1" x14ac:dyDescent="0.7">
      <c r="A172" s="38"/>
      <c r="C172" s="83"/>
      <c r="D172" s="83"/>
      <c r="E172" s="84"/>
      <c r="F172" s="84"/>
    </row>
    <row r="173" spans="1:6" s="32" customFormat="1" x14ac:dyDescent="0.7">
      <c r="A173" s="38"/>
      <c r="C173" s="83"/>
      <c r="D173" s="83"/>
      <c r="E173" s="84"/>
      <c r="F173" s="84"/>
    </row>
    <row r="174" spans="1:6" s="32" customFormat="1" x14ac:dyDescent="0.7">
      <c r="A174" s="38"/>
      <c r="C174" s="83"/>
      <c r="D174" s="83"/>
      <c r="E174" s="84"/>
      <c r="F174" s="84"/>
    </row>
    <row r="175" spans="1:6" s="32" customFormat="1" x14ac:dyDescent="0.7">
      <c r="A175" s="38"/>
      <c r="C175" s="83"/>
      <c r="D175" s="83"/>
      <c r="E175" s="84"/>
      <c r="F175" s="84"/>
    </row>
    <row r="176" spans="1:6" s="32" customFormat="1" x14ac:dyDescent="0.7">
      <c r="A176" s="38"/>
      <c r="C176" s="83"/>
      <c r="D176" s="83"/>
      <c r="E176" s="84"/>
      <c r="F176" s="84"/>
    </row>
    <row r="177" spans="1:6" s="32" customFormat="1" x14ac:dyDescent="0.7">
      <c r="A177" s="38"/>
      <c r="C177" s="83"/>
      <c r="D177" s="83"/>
      <c r="E177" s="84"/>
      <c r="F177" s="84"/>
    </row>
    <row r="178" spans="1:6" s="32" customFormat="1" x14ac:dyDescent="0.7">
      <c r="A178" s="38"/>
      <c r="C178" s="83"/>
      <c r="D178" s="83"/>
      <c r="E178" s="84"/>
      <c r="F178" s="84"/>
    </row>
    <row r="179" spans="1:6" s="32" customFormat="1" x14ac:dyDescent="0.7">
      <c r="A179" s="38"/>
      <c r="C179" s="83"/>
      <c r="D179" s="83"/>
      <c r="E179" s="84"/>
      <c r="F179" s="84"/>
    </row>
    <row r="180" spans="1:6" s="32" customFormat="1" x14ac:dyDescent="0.7">
      <c r="A180" s="38"/>
      <c r="C180" s="83"/>
      <c r="D180" s="83"/>
      <c r="E180" s="84"/>
      <c r="F180" s="84"/>
    </row>
    <row r="181" spans="1:6" s="32" customFormat="1" x14ac:dyDescent="0.7">
      <c r="A181" s="38"/>
      <c r="C181" s="83"/>
      <c r="D181" s="83"/>
      <c r="E181" s="84"/>
      <c r="F181" s="84"/>
    </row>
    <row r="182" spans="1:6" s="32" customFormat="1" x14ac:dyDescent="0.7">
      <c r="A182" s="38"/>
      <c r="C182" s="83"/>
      <c r="D182" s="83"/>
      <c r="E182" s="84"/>
      <c r="F182" s="84"/>
    </row>
    <row r="183" spans="1:6" s="32" customFormat="1" x14ac:dyDescent="0.7">
      <c r="A183" s="38"/>
      <c r="C183" s="83"/>
      <c r="D183" s="83"/>
      <c r="E183" s="84"/>
      <c r="F183" s="84"/>
    </row>
    <row r="184" spans="1:6" s="32" customFormat="1" x14ac:dyDescent="0.7">
      <c r="A184" s="38"/>
      <c r="C184" s="83"/>
      <c r="D184" s="83"/>
      <c r="E184" s="84"/>
      <c r="F184" s="84"/>
    </row>
    <row r="185" spans="1:6" s="32" customFormat="1" x14ac:dyDescent="0.7">
      <c r="A185" s="38"/>
      <c r="C185" s="83"/>
      <c r="D185" s="83"/>
      <c r="E185" s="84"/>
      <c r="F185" s="84"/>
    </row>
    <row r="186" spans="1:6" s="32" customFormat="1" x14ac:dyDescent="0.7">
      <c r="A186" s="38"/>
      <c r="C186" s="83"/>
      <c r="D186" s="83"/>
      <c r="E186" s="84"/>
      <c r="F186" s="84"/>
    </row>
    <row r="187" spans="1:6" s="32" customFormat="1" x14ac:dyDescent="0.7">
      <c r="A187" s="38"/>
      <c r="C187" s="83"/>
      <c r="D187" s="83"/>
      <c r="E187" s="84"/>
      <c r="F187" s="84"/>
    </row>
    <row r="188" spans="1:6" s="32" customFormat="1" x14ac:dyDescent="0.7">
      <c r="A188" s="38"/>
      <c r="C188" s="83"/>
      <c r="D188" s="83"/>
      <c r="E188" s="84"/>
      <c r="F188" s="84"/>
    </row>
    <row r="189" spans="1:6" s="32" customFormat="1" x14ac:dyDescent="0.7">
      <c r="A189" s="38"/>
      <c r="C189" s="83"/>
      <c r="D189" s="83"/>
      <c r="E189" s="84"/>
      <c r="F189" s="84"/>
    </row>
    <row r="190" spans="1:6" s="32" customFormat="1" x14ac:dyDescent="0.7">
      <c r="A190" s="38"/>
      <c r="C190" s="83"/>
      <c r="D190" s="83"/>
      <c r="E190" s="84"/>
      <c r="F190" s="84"/>
    </row>
    <row r="191" spans="1:6" s="32" customFormat="1" x14ac:dyDescent="0.7">
      <c r="A191" s="38"/>
      <c r="C191" s="83"/>
      <c r="D191" s="83"/>
      <c r="E191" s="84"/>
      <c r="F191" s="84"/>
    </row>
    <row r="192" spans="1:6" s="32" customFormat="1" x14ac:dyDescent="0.7">
      <c r="A192" s="38"/>
      <c r="C192" s="83"/>
      <c r="D192" s="83"/>
      <c r="E192" s="84"/>
      <c r="F192" s="84"/>
    </row>
    <row r="193" spans="1:6" s="32" customFormat="1" x14ac:dyDescent="0.7">
      <c r="A193" s="38"/>
      <c r="C193" s="83"/>
      <c r="D193" s="83"/>
      <c r="E193" s="84"/>
      <c r="F193" s="84"/>
    </row>
    <row r="194" spans="1:6" s="32" customFormat="1" x14ac:dyDescent="0.7">
      <c r="A194" s="38"/>
      <c r="C194" s="83"/>
      <c r="D194" s="83"/>
      <c r="E194" s="84"/>
      <c r="F194" s="84"/>
    </row>
    <row r="195" spans="1:6" s="32" customFormat="1" x14ac:dyDescent="0.7">
      <c r="A195" s="38"/>
      <c r="C195" s="83"/>
      <c r="D195" s="83"/>
      <c r="E195" s="84"/>
      <c r="F195" s="84"/>
    </row>
    <row r="196" spans="1:6" s="32" customFormat="1" x14ac:dyDescent="0.7">
      <c r="A196" s="38"/>
      <c r="C196" s="83"/>
      <c r="D196" s="83"/>
      <c r="E196" s="84"/>
      <c r="F196" s="84"/>
    </row>
    <row r="197" spans="1:6" s="32" customFormat="1" x14ac:dyDescent="0.7">
      <c r="A197" s="38"/>
      <c r="C197" s="83"/>
      <c r="D197" s="83"/>
      <c r="E197" s="84"/>
      <c r="F197" s="84"/>
    </row>
    <row r="198" spans="1:6" s="32" customFormat="1" x14ac:dyDescent="0.7">
      <c r="A198" s="38"/>
      <c r="C198" s="83"/>
      <c r="D198" s="83"/>
      <c r="E198" s="84"/>
      <c r="F198" s="84"/>
    </row>
    <row r="199" spans="1:6" s="32" customFormat="1" x14ac:dyDescent="0.7">
      <c r="A199" s="38"/>
      <c r="C199" s="83"/>
      <c r="D199" s="83"/>
      <c r="E199" s="84"/>
      <c r="F199" s="84"/>
    </row>
    <row r="200" spans="1:6" s="32" customFormat="1" x14ac:dyDescent="0.7">
      <c r="A200" s="38"/>
      <c r="C200" s="83"/>
      <c r="D200" s="83"/>
      <c r="E200" s="84"/>
      <c r="F200" s="84"/>
    </row>
    <row r="201" spans="1:6" s="32" customFormat="1" x14ac:dyDescent="0.7">
      <c r="A201" s="38"/>
      <c r="C201" s="83"/>
      <c r="D201" s="83"/>
      <c r="E201" s="84"/>
      <c r="F201" s="84"/>
    </row>
    <row r="202" spans="1:6" s="32" customFormat="1" x14ac:dyDescent="0.7">
      <c r="A202" s="38"/>
      <c r="C202" s="83"/>
      <c r="D202" s="83"/>
      <c r="E202" s="84"/>
      <c r="F202" s="84"/>
    </row>
    <row r="203" spans="1:6" s="32" customFormat="1" x14ac:dyDescent="0.7">
      <c r="A203" s="38"/>
      <c r="C203" s="83"/>
      <c r="D203" s="83"/>
      <c r="E203" s="84"/>
      <c r="F203" s="84"/>
    </row>
    <row r="204" spans="1:6" s="32" customFormat="1" x14ac:dyDescent="0.7">
      <c r="A204" s="38"/>
      <c r="C204" s="83"/>
      <c r="D204" s="83"/>
      <c r="E204" s="84"/>
      <c r="F204" s="84"/>
    </row>
    <row r="205" spans="1:6" s="32" customFormat="1" x14ac:dyDescent="0.7">
      <c r="A205" s="38"/>
      <c r="C205" s="83"/>
      <c r="D205" s="83"/>
      <c r="E205" s="84"/>
      <c r="F205" s="84"/>
    </row>
    <row r="206" spans="1:6" s="32" customFormat="1" x14ac:dyDescent="0.7">
      <c r="A206" s="38"/>
      <c r="C206" s="83"/>
      <c r="D206" s="83"/>
      <c r="E206" s="84"/>
      <c r="F206" s="84"/>
    </row>
    <row r="207" spans="1:6" s="32" customFormat="1" x14ac:dyDescent="0.7">
      <c r="A207" s="38"/>
      <c r="C207" s="83"/>
      <c r="D207" s="83"/>
      <c r="E207" s="84"/>
      <c r="F207" s="84"/>
    </row>
    <row r="208" spans="1:6" s="32" customFormat="1" x14ac:dyDescent="0.7">
      <c r="A208" s="38"/>
      <c r="C208" s="83"/>
      <c r="D208" s="83"/>
      <c r="E208" s="84"/>
      <c r="F208" s="84"/>
    </row>
    <row r="209" spans="1:6" s="32" customFormat="1" x14ac:dyDescent="0.7">
      <c r="A209" s="38"/>
      <c r="C209" s="83"/>
      <c r="D209" s="83"/>
      <c r="E209" s="84"/>
      <c r="F209" s="84"/>
    </row>
    <row r="210" spans="1:6" s="32" customFormat="1" x14ac:dyDescent="0.7">
      <c r="A210" s="38"/>
      <c r="C210" s="83"/>
      <c r="D210" s="83"/>
      <c r="E210" s="84"/>
      <c r="F210" s="84"/>
    </row>
    <row r="211" spans="1:6" s="32" customFormat="1" x14ac:dyDescent="0.7">
      <c r="A211" s="38"/>
      <c r="C211" s="83"/>
      <c r="D211" s="83"/>
      <c r="E211" s="84"/>
      <c r="F211" s="84"/>
    </row>
    <row r="212" spans="1:6" s="32" customFormat="1" x14ac:dyDescent="0.7">
      <c r="A212" s="38"/>
      <c r="C212" s="83"/>
      <c r="D212" s="83"/>
      <c r="E212" s="84"/>
      <c r="F212" s="84"/>
    </row>
    <row r="213" spans="1:6" s="32" customFormat="1" x14ac:dyDescent="0.7">
      <c r="A213" s="38"/>
      <c r="C213" s="83"/>
      <c r="D213" s="83"/>
      <c r="E213" s="84"/>
      <c r="F213" s="84"/>
    </row>
    <row r="214" spans="1:6" s="32" customFormat="1" x14ac:dyDescent="0.7">
      <c r="A214" s="38"/>
      <c r="C214" s="83"/>
      <c r="D214" s="83"/>
      <c r="E214" s="84"/>
      <c r="F214" s="84"/>
    </row>
    <row r="215" spans="1:6" s="32" customFormat="1" x14ac:dyDescent="0.7">
      <c r="A215" s="38"/>
      <c r="C215" s="83"/>
      <c r="D215" s="83"/>
      <c r="E215" s="84"/>
      <c r="F215" s="84"/>
    </row>
    <row r="216" spans="1:6" s="32" customFormat="1" x14ac:dyDescent="0.7">
      <c r="A216" s="38"/>
      <c r="C216" s="83"/>
      <c r="D216" s="83"/>
      <c r="E216" s="84"/>
      <c r="F216" s="84"/>
    </row>
    <row r="217" spans="1:6" s="32" customFormat="1" x14ac:dyDescent="0.7">
      <c r="A217" s="38"/>
      <c r="C217" s="83"/>
      <c r="D217" s="83"/>
      <c r="E217" s="84"/>
      <c r="F217" s="84"/>
    </row>
    <row r="218" spans="1:6" s="32" customFormat="1" x14ac:dyDescent="0.7">
      <c r="A218" s="38"/>
      <c r="C218" s="83"/>
      <c r="D218" s="83"/>
      <c r="E218" s="84"/>
      <c r="F218" s="84"/>
    </row>
    <row r="219" spans="1:6" s="32" customFormat="1" x14ac:dyDescent="0.7">
      <c r="A219" s="38"/>
      <c r="C219" s="83"/>
      <c r="D219" s="83"/>
      <c r="E219" s="84"/>
      <c r="F219" s="84"/>
    </row>
    <row r="220" spans="1:6" s="32" customFormat="1" x14ac:dyDescent="0.7">
      <c r="A220" s="38"/>
      <c r="C220" s="83"/>
      <c r="D220" s="83"/>
      <c r="E220" s="84"/>
      <c r="F220" s="84"/>
    </row>
    <row r="221" spans="1:6" s="32" customFormat="1" x14ac:dyDescent="0.7">
      <c r="A221" s="38"/>
      <c r="C221" s="83"/>
      <c r="D221" s="83"/>
      <c r="E221" s="84"/>
      <c r="F221" s="84"/>
    </row>
    <row r="222" spans="1:6" s="32" customFormat="1" x14ac:dyDescent="0.7">
      <c r="A222" s="38"/>
      <c r="C222" s="83"/>
      <c r="D222" s="83"/>
      <c r="E222" s="84"/>
      <c r="F222" s="84"/>
    </row>
    <row r="223" spans="1:6" s="32" customFormat="1" x14ac:dyDescent="0.7">
      <c r="A223" s="38"/>
      <c r="C223" s="83"/>
      <c r="D223" s="83"/>
      <c r="E223" s="84"/>
      <c r="F223" s="84"/>
    </row>
    <row r="224" spans="1:6" s="32" customFormat="1" x14ac:dyDescent="0.7">
      <c r="A224" s="38"/>
      <c r="C224" s="83"/>
      <c r="D224" s="83"/>
      <c r="E224" s="84"/>
      <c r="F224" s="84"/>
    </row>
    <row r="225" spans="1:6" s="32" customFormat="1" x14ac:dyDescent="0.7">
      <c r="A225" s="38"/>
      <c r="C225" s="83"/>
      <c r="D225" s="83"/>
      <c r="E225" s="84"/>
      <c r="F225" s="84"/>
    </row>
    <row r="226" spans="1:6" s="32" customFormat="1" x14ac:dyDescent="0.7">
      <c r="A226" s="38"/>
      <c r="C226" s="83"/>
      <c r="D226" s="83"/>
      <c r="E226" s="84"/>
      <c r="F226" s="84"/>
    </row>
    <row r="227" spans="1:6" s="32" customFormat="1" x14ac:dyDescent="0.7">
      <c r="A227" s="38"/>
      <c r="C227" s="83"/>
      <c r="D227" s="83"/>
      <c r="E227" s="84"/>
      <c r="F227" s="84"/>
    </row>
    <row r="228" spans="1:6" s="32" customFormat="1" x14ac:dyDescent="0.7">
      <c r="A228" s="38"/>
      <c r="C228" s="83"/>
      <c r="D228" s="83"/>
      <c r="E228" s="84"/>
      <c r="F228" s="84"/>
    </row>
    <row r="229" spans="1:6" s="32" customFormat="1" x14ac:dyDescent="0.7">
      <c r="A229" s="38"/>
      <c r="C229" s="83"/>
      <c r="D229" s="83"/>
      <c r="E229" s="84"/>
      <c r="F229" s="84"/>
    </row>
    <row r="230" spans="1:6" s="32" customFormat="1" x14ac:dyDescent="0.7">
      <c r="A230" s="38"/>
      <c r="C230" s="83"/>
      <c r="D230" s="83"/>
      <c r="E230" s="84"/>
      <c r="F230" s="84"/>
    </row>
    <row r="231" spans="1:6" s="32" customFormat="1" x14ac:dyDescent="0.7">
      <c r="A231" s="38"/>
      <c r="C231" s="83"/>
      <c r="D231" s="83"/>
      <c r="E231" s="84"/>
      <c r="F231" s="84"/>
    </row>
    <row r="232" spans="1:6" s="32" customFormat="1" x14ac:dyDescent="0.7">
      <c r="A232" s="38"/>
      <c r="C232" s="83"/>
      <c r="D232" s="83"/>
      <c r="E232" s="84"/>
      <c r="F232" s="84"/>
    </row>
    <row r="233" spans="1:6" s="32" customFormat="1" x14ac:dyDescent="0.7">
      <c r="A233" s="38"/>
      <c r="C233" s="83"/>
      <c r="D233" s="83"/>
      <c r="E233" s="84"/>
      <c r="F233" s="84"/>
    </row>
    <row r="234" spans="1:6" s="32" customFormat="1" x14ac:dyDescent="0.7">
      <c r="A234" s="38"/>
      <c r="C234" s="83"/>
      <c r="D234" s="83"/>
      <c r="E234" s="84"/>
      <c r="F234" s="84"/>
    </row>
  </sheetData>
  <mergeCells count="4">
    <mergeCell ref="A10:A13"/>
    <mergeCell ref="A2:A3"/>
    <mergeCell ref="A4:A6"/>
    <mergeCell ref="A7:A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9CEB2-26ED-4540-9238-648A0225A3A3}">
  <sheetPr>
    <tabColor rgb="FFFFFF00"/>
  </sheetPr>
  <dimension ref="A1:DG442"/>
  <sheetViews>
    <sheetView showGridLines="0" workbookViewId="0">
      <selection activeCell="I18" sqref="I18"/>
    </sheetView>
  </sheetViews>
  <sheetFormatPr defaultColWidth="9.1328125" defaultRowHeight="14.25" x14ac:dyDescent="0.45"/>
  <cols>
    <col min="1" max="1" width="4.86328125" style="147" customWidth="1"/>
    <col min="2" max="2" width="4.86328125" style="87" customWidth="1"/>
    <col min="3" max="3" width="5.1328125" style="87" customWidth="1"/>
    <col min="4" max="4" width="5.59765625" style="87" customWidth="1"/>
    <col min="5" max="7" width="32.73046875" style="87" customWidth="1"/>
    <col min="8" max="8" width="9.1328125" style="147" customWidth="1"/>
    <col min="9" max="11" width="9.1328125" style="147"/>
    <col min="12" max="12" width="9.1328125" style="147" customWidth="1"/>
    <col min="13" max="111" width="9.1328125" style="147"/>
    <col min="112" max="16384" width="9.1328125" style="87"/>
  </cols>
  <sheetData>
    <row r="1" spans="1:111" s="147" customFormat="1" ht="16.5" customHeight="1" thickBot="1" x14ac:dyDescent="0.5"/>
    <row r="2" spans="1:111" ht="25.5" customHeight="1" x14ac:dyDescent="0.45">
      <c r="A2" s="87"/>
      <c r="B2" s="137" t="s">
        <v>178</v>
      </c>
      <c r="C2" s="138"/>
      <c r="D2" s="138"/>
      <c r="E2" s="138"/>
      <c r="F2" s="138"/>
      <c r="G2" s="139"/>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row>
    <row r="3" spans="1:111" ht="25.5" customHeight="1" thickBot="1" x14ac:dyDescent="0.5">
      <c r="A3" s="87"/>
      <c r="B3" s="140" t="s">
        <v>3</v>
      </c>
      <c r="C3" s="141"/>
      <c r="D3" s="141"/>
      <c r="E3" s="141"/>
      <c r="F3" s="141"/>
      <c r="G3" s="142"/>
      <c r="H3" s="87"/>
      <c r="I3" s="87"/>
      <c r="J3" s="87"/>
      <c r="K3" s="87"/>
      <c r="L3" s="87"/>
      <c r="M3" s="87"/>
      <c r="N3" s="87"/>
      <c r="O3" s="87"/>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c r="AQ3" s="87"/>
      <c r="AR3" s="87"/>
      <c r="AS3" s="87"/>
      <c r="AT3" s="87"/>
      <c r="AU3" s="87"/>
      <c r="AV3" s="87"/>
      <c r="AW3" s="87"/>
      <c r="AX3" s="87"/>
      <c r="AY3" s="87"/>
      <c r="AZ3" s="87"/>
      <c r="BA3" s="87"/>
      <c r="BB3" s="87"/>
      <c r="BC3" s="87"/>
      <c r="BD3" s="87"/>
      <c r="BE3" s="87"/>
      <c r="BF3" s="87"/>
      <c r="BG3" s="87"/>
      <c r="BH3" s="87"/>
      <c r="BI3" s="87"/>
      <c r="BJ3" s="87"/>
      <c r="BK3" s="87"/>
      <c r="BL3" s="87"/>
      <c r="BM3" s="87"/>
      <c r="BN3" s="87"/>
      <c r="BO3" s="87"/>
      <c r="BP3" s="87"/>
      <c r="BQ3" s="87"/>
      <c r="BR3" s="87"/>
      <c r="BS3" s="87"/>
      <c r="BT3" s="87"/>
      <c r="BU3" s="87"/>
      <c r="BV3" s="87"/>
      <c r="BW3" s="87"/>
      <c r="BX3" s="87"/>
      <c r="BY3" s="87"/>
      <c r="BZ3" s="87"/>
      <c r="CA3" s="87"/>
      <c r="CB3" s="87"/>
      <c r="CC3" s="87"/>
      <c r="CD3" s="87"/>
      <c r="CE3" s="87"/>
      <c r="CF3" s="87"/>
      <c r="CG3" s="87"/>
      <c r="CH3" s="87"/>
      <c r="CI3" s="87"/>
      <c r="CJ3" s="87"/>
      <c r="CK3" s="87"/>
      <c r="CL3" s="87"/>
      <c r="CM3" s="87"/>
      <c r="CN3" s="87"/>
      <c r="CO3" s="87"/>
      <c r="CP3" s="87"/>
      <c r="CQ3" s="87"/>
      <c r="CR3" s="87"/>
      <c r="CS3" s="87"/>
      <c r="CT3" s="87"/>
      <c r="CU3" s="87"/>
      <c r="CV3" s="87"/>
      <c r="CW3" s="87"/>
      <c r="CX3" s="87"/>
      <c r="CY3" s="87"/>
      <c r="CZ3" s="87"/>
      <c r="DA3" s="87"/>
      <c r="DB3" s="87"/>
      <c r="DC3" s="87"/>
      <c r="DD3" s="87"/>
      <c r="DE3" s="87"/>
      <c r="DF3" s="87"/>
      <c r="DG3" s="87"/>
    </row>
    <row r="4" spans="1:111" ht="25.5" customHeight="1" x14ac:dyDescent="0.45">
      <c r="A4" s="87"/>
      <c r="B4" s="146"/>
      <c r="C4" s="146"/>
      <c r="D4" s="146"/>
      <c r="E4" s="146"/>
      <c r="H4" s="87"/>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7"/>
      <c r="AV4" s="87"/>
      <c r="AW4" s="87"/>
      <c r="AX4" s="87"/>
      <c r="AY4" s="87"/>
      <c r="AZ4" s="87"/>
      <c r="BA4" s="87"/>
      <c r="BB4" s="87"/>
      <c r="BC4" s="87"/>
      <c r="BD4" s="87"/>
      <c r="BE4" s="87"/>
      <c r="BF4" s="87"/>
      <c r="BG4" s="87"/>
      <c r="BH4" s="87"/>
      <c r="BI4" s="87"/>
      <c r="BJ4" s="87"/>
      <c r="BK4" s="87"/>
      <c r="BL4" s="87"/>
      <c r="BM4" s="87"/>
      <c r="BN4" s="87"/>
      <c r="BO4" s="87"/>
      <c r="BP4" s="87"/>
      <c r="BQ4" s="87"/>
      <c r="BR4" s="87"/>
      <c r="BS4" s="87"/>
      <c r="BT4" s="87"/>
      <c r="BU4" s="87"/>
      <c r="BV4" s="87"/>
      <c r="BW4" s="87"/>
      <c r="BX4" s="87"/>
      <c r="BY4" s="87"/>
      <c r="BZ4" s="87"/>
      <c r="CA4" s="87"/>
      <c r="CB4" s="87"/>
      <c r="CC4" s="87"/>
      <c r="CD4" s="87"/>
      <c r="CE4" s="87"/>
      <c r="CF4" s="87"/>
      <c r="CG4" s="87"/>
      <c r="CH4" s="87"/>
      <c r="CI4" s="87"/>
      <c r="CJ4" s="87"/>
      <c r="CK4" s="87"/>
      <c r="CL4" s="87"/>
      <c r="CM4" s="87"/>
      <c r="CN4" s="87"/>
      <c r="CO4" s="87"/>
      <c r="CP4" s="87"/>
      <c r="CQ4" s="87"/>
      <c r="CR4" s="87"/>
      <c r="CS4" s="87"/>
      <c r="CT4" s="87"/>
      <c r="CU4" s="87"/>
      <c r="CV4" s="87"/>
      <c r="CW4" s="87"/>
      <c r="CX4" s="87"/>
      <c r="CY4" s="87"/>
      <c r="CZ4" s="87"/>
      <c r="DA4" s="87"/>
      <c r="DB4" s="87"/>
      <c r="DC4" s="87"/>
      <c r="DD4" s="87"/>
      <c r="DE4" s="87"/>
      <c r="DF4" s="87"/>
      <c r="DG4" s="87"/>
    </row>
    <row r="5" spans="1:111" ht="15" customHeight="1" x14ac:dyDescent="0.45">
      <c r="B5" s="157" t="s">
        <v>197</v>
      </c>
      <c r="C5" s="154" t="s">
        <v>187</v>
      </c>
      <c r="D5" s="155"/>
      <c r="E5" s="155"/>
      <c r="F5" s="155"/>
      <c r="G5" s="156"/>
    </row>
    <row r="6" spans="1:111" ht="62.25" customHeight="1" x14ac:dyDescent="0.45">
      <c r="B6" s="157"/>
      <c r="C6" s="148" t="s">
        <v>192</v>
      </c>
      <c r="D6" s="149"/>
      <c r="E6" s="149"/>
      <c r="F6" s="149"/>
      <c r="G6" s="150"/>
    </row>
    <row r="7" spans="1:111" ht="12.6" customHeight="1" x14ac:dyDescent="0.45">
      <c r="B7" s="147"/>
      <c r="C7" s="147"/>
      <c r="D7" s="147"/>
      <c r="E7" s="147"/>
      <c r="F7" s="147"/>
      <c r="G7" s="147"/>
    </row>
    <row r="8" spans="1:111" ht="12.6" customHeight="1" x14ac:dyDescent="0.45">
      <c r="B8" s="157" t="s">
        <v>198</v>
      </c>
      <c r="C8" s="154" t="s">
        <v>188</v>
      </c>
      <c r="D8" s="155"/>
      <c r="E8" s="155"/>
      <c r="F8" s="155"/>
      <c r="G8" s="156"/>
    </row>
    <row r="9" spans="1:111" ht="135.4" customHeight="1" x14ac:dyDescent="0.45">
      <c r="B9" s="157"/>
      <c r="C9" s="148" t="s">
        <v>194</v>
      </c>
      <c r="D9" s="149"/>
      <c r="E9" s="149"/>
      <c r="F9" s="149"/>
      <c r="G9" s="150"/>
    </row>
    <row r="10" spans="1:111" ht="12.6" customHeight="1" x14ac:dyDescent="0.45">
      <c r="C10" s="147"/>
      <c r="D10" s="147"/>
      <c r="E10" s="147"/>
      <c r="F10" s="147"/>
      <c r="G10" s="147"/>
    </row>
    <row r="11" spans="1:111" ht="12.4" customHeight="1" x14ac:dyDescent="0.45">
      <c r="B11" s="157" t="s">
        <v>199</v>
      </c>
      <c r="C11" s="154" t="s">
        <v>189</v>
      </c>
      <c r="D11" s="155"/>
      <c r="E11" s="155"/>
      <c r="F11" s="155"/>
      <c r="G11" s="156"/>
    </row>
    <row r="12" spans="1:111" ht="93" customHeight="1" x14ac:dyDescent="0.45">
      <c r="B12" s="157"/>
      <c r="C12" s="148" t="s">
        <v>193</v>
      </c>
      <c r="D12" s="149"/>
      <c r="E12" s="149"/>
      <c r="F12" s="149"/>
      <c r="G12" s="150"/>
    </row>
    <row r="13" spans="1:111" ht="12.6" customHeight="1" x14ac:dyDescent="0.45">
      <c r="C13" s="147"/>
      <c r="D13" s="147"/>
      <c r="E13" s="147"/>
      <c r="F13" s="147"/>
      <c r="G13" s="147"/>
    </row>
    <row r="14" spans="1:111" ht="12.6" customHeight="1" x14ac:dyDescent="0.45">
      <c r="B14" s="157" t="s">
        <v>200</v>
      </c>
      <c r="C14" s="154" t="s">
        <v>190</v>
      </c>
      <c r="D14" s="155"/>
      <c r="E14" s="155"/>
      <c r="F14" s="155"/>
      <c r="G14" s="156"/>
    </row>
    <row r="15" spans="1:111" ht="107.65" customHeight="1" x14ac:dyDescent="0.45">
      <c r="B15" s="157"/>
      <c r="C15" s="148" t="s">
        <v>195</v>
      </c>
      <c r="D15" s="149"/>
      <c r="E15" s="149"/>
      <c r="F15" s="149"/>
      <c r="G15" s="150"/>
    </row>
    <row r="16" spans="1:111" ht="12.6" customHeight="1" x14ac:dyDescent="0.45">
      <c r="C16" s="147"/>
      <c r="D16" s="147"/>
      <c r="E16" s="147"/>
      <c r="F16" s="147"/>
      <c r="G16" s="147"/>
    </row>
    <row r="17" spans="2:111" ht="12.6" customHeight="1" x14ac:dyDescent="0.45">
      <c r="B17" s="157" t="s">
        <v>201</v>
      </c>
      <c r="C17" s="154" t="s">
        <v>191</v>
      </c>
      <c r="D17" s="155"/>
      <c r="E17" s="155"/>
      <c r="F17" s="155"/>
      <c r="G17" s="156"/>
    </row>
    <row r="18" spans="2:111" ht="124.9" customHeight="1" x14ac:dyDescent="0.45">
      <c r="B18" s="157"/>
      <c r="C18" s="148" t="s">
        <v>196</v>
      </c>
      <c r="D18" s="149"/>
      <c r="E18" s="149"/>
      <c r="F18" s="149"/>
      <c r="G18" s="150"/>
    </row>
    <row r="19" spans="2:111" ht="12.6" customHeight="1" x14ac:dyDescent="0.45">
      <c r="B19" s="147"/>
      <c r="C19" s="147"/>
      <c r="D19" s="147"/>
      <c r="E19" s="147"/>
      <c r="F19" s="147"/>
      <c r="G19" s="147"/>
    </row>
    <row r="20" spans="2:111" ht="21" customHeight="1" x14ac:dyDescent="0.45">
      <c r="B20" s="151" t="s">
        <v>4</v>
      </c>
      <c r="C20" s="152"/>
      <c r="D20" s="152"/>
      <c r="E20" s="152"/>
      <c r="F20" s="152"/>
      <c r="G20" s="153"/>
    </row>
    <row r="21" spans="2:111" ht="18" x14ac:dyDescent="0.45">
      <c r="B21" s="143" t="s">
        <v>5</v>
      </c>
      <c r="C21" s="143"/>
      <c r="D21" s="143"/>
      <c r="E21" s="13" t="s">
        <v>172</v>
      </c>
      <c r="F21" s="13" t="s">
        <v>173</v>
      </c>
      <c r="G21" s="13" t="s">
        <v>174</v>
      </c>
    </row>
    <row r="22" spans="2:111" ht="15.75" x14ac:dyDescent="0.45">
      <c r="B22" s="143" t="s">
        <v>6</v>
      </c>
      <c r="C22" s="143"/>
      <c r="D22" s="143"/>
      <c r="E22" s="17" t="s">
        <v>7</v>
      </c>
      <c r="F22" s="17" t="s">
        <v>8</v>
      </c>
      <c r="G22" s="17" t="s">
        <v>9</v>
      </c>
    </row>
    <row r="23" spans="2:111" s="147" customFormat="1" ht="12.6" customHeight="1" x14ac:dyDescent="0.45"/>
    <row r="24" spans="2:111" ht="24.75" customHeight="1" x14ac:dyDescent="0.45">
      <c r="B24" s="151" t="s">
        <v>10</v>
      </c>
      <c r="C24" s="152"/>
      <c r="D24" s="152"/>
      <c r="E24" s="152"/>
      <c r="F24" s="152"/>
      <c r="G24" s="153"/>
    </row>
    <row r="25" spans="2:111" ht="25.5" customHeight="1" x14ac:dyDescent="0.45">
      <c r="B25" s="158" t="s">
        <v>11</v>
      </c>
      <c r="C25" s="158"/>
      <c r="D25" s="158"/>
      <c r="E25" s="159" t="s">
        <v>202</v>
      </c>
      <c r="F25" s="159" t="s">
        <v>203</v>
      </c>
      <c r="G25" s="159" t="s">
        <v>204</v>
      </c>
    </row>
    <row r="26" spans="2:111" ht="29.1" customHeight="1" x14ac:dyDescent="0.45">
      <c r="B26" s="14">
        <v>1</v>
      </c>
      <c r="C26" s="14">
        <v>4</v>
      </c>
      <c r="D26" s="14">
        <v>7</v>
      </c>
      <c r="E26" s="2" t="s">
        <v>12</v>
      </c>
      <c r="F26" s="12" t="s">
        <v>13</v>
      </c>
      <c r="G26" s="12" t="s">
        <v>13</v>
      </c>
    </row>
    <row r="27" spans="2:111" ht="29.45" customHeight="1" x14ac:dyDescent="0.45">
      <c r="B27" s="15">
        <v>2</v>
      </c>
      <c r="C27" s="15">
        <v>5</v>
      </c>
      <c r="D27" s="15">
        <v>8</v>
      </c>
      <c r="E27" s="2" t="s">
        <v>12</v>
      </c>
      <c r="F27" s="2" t="s">
        <v>12</v>
      </c>
      <c r="G27" s="12" t="s">
        <v>13</v>
      </c>
    </row>
    <row r="28" spans="2:111" ht="29.45" customHeight="1" x14ac:dyDescent="0.45">
      <c r="B28" s="16">
        <v>3</v>
      </c>
      <c r="C28" s="16">
        <v>6</v>
      </c>
      <c r="D28" s="16">
        <v>9</v>
      </c>
      <c r="E28" s="2" t="s">
        <v>12</v>
      </c>
      <c r="F28" s="2" t="s">
        <v>12</v>
      </c>
      <c r="G28" s="2" t="s">
        <v>12</v>
      </c>
    </row>
    <row r="29" spans="2:111" ht="24" customHeight="1" x14ac:dyDescent="0.45">
      <c r="B29" s="144" t="s">
        <v>205</v>
      </c>
      <c r="C29" s="145"/>
      <c r="D29" s="145"/>
      <c r="E29" s="145"/>
      <c r="F29" s="145"/>
      <c r="G29" s="145"/>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row>
    <row r="30" spans="2:111" ht="15" customHeight="1" x14ac:dyDescent="0.45">
      <c r="B30" s="145"/>
      <c r="C30" s="145"/>
      <c r="D30" s="145"/>
      <c r="E30" s="145"/>
      <c r="F30" s="145"/>
      <c r="G30" s="145"/>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row>
    <row r="31" spans="2:111" ht="15.75" customHeight="1" x14ac:dyDescent="0.45">
      <c r="B31" s="145"/>
      <c r="C31" s="145"/>
      <c r="D31" s="145"/>
      <c r="E31" s="145"/>
      <c r="F31" s="145"/>
      <c r="G31" s="145"/>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row>
    <row r="32" spans="2:111" ht="15.75" customHeight="1" x14ac:dyDescent="0.45">
      <c r="B32" s="49"/>
      <c r="C32" s="49"/>
      <c r="D32" s="49"/>
      <c r="E32" s="49"/>
      <c r="F32" s="49"/>
      <c r="G32" s="49"/>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row>
    <row r="33" spans="2:8" s="147" customFormat="1" ht="21.85" customHeight="1" x14ac:dyDescent="0.45">
      <c r="B33" s="160" t="s">
        <v>10</v>
      </c>
      <c r="C33" s="160"/>
      <c r="D33" s="160"/>
      <c r="E33" s="160"/>
      <c r="F33" s="160"/>
      <c r="G33" s="160"/>
    </row>
    <row r="34" spans="2:8" s="147" customFormat="1" ht="21.85" customHeight="1" x14ac:dyDescent="0.45">
      <c r="B34" s="162" t="s">
        <v>206</v>
      </c>
      <c r="C34" s="162"/>
      <c r="D34" s="162"/>
      <c r="E34" s="162"/>
      <c r="F34" s="162" t="s">
        <v>207</v>
      </c>
      <c r="G34" s="162"/>
    </row>
    <row r="35" spans="2:8" s="147" customFormat="1" ht="38.35" customHeight="1" x14ac:dyDescent="0.45">
      <c r="B35" s="163" t="s">
        <v>202</v>
      </c>
      <c r="C35" s="163"/>
      <c r="D35" s="163"/>
      <c r="E35" s="163"/>
      <c r="F35" s="161" t="s">
        <v>208</v>
      </c>
      <c r="G35" s="161"/>
    </row>
    <row r="36" spans="2:8" s="147" customFormat="1" ht="38.35" customHeight="1" x14ac:dyDescent="0.45">
      <c r="B36" s="163" t="s">
        <v>203</v>
      </c>
      <c r="C36" s="163"/>
      <c r="D36" s="163"/>
      <c r="E36" s="163"/>
      <c r="F36" s="161" t="s">
        <v>209</v>
      </c>
      <c r="G36" s="161"/>
    </row>
    <row r="37" spans="2:8" s="147" customFormat="1" ht="38.35" customHeight="1" x14ac:dyDescent="0.45">
      <c r="B37" s="163" t="s">
        <v>204</v>
      </c>
      <c r="C37" s="163"/>
      <c r="D37" s="163"/>
      <c r="E37" s="163"/>
      <c r="F37" s="161" t="s">
        <v>210</v>
      </c>
      <c r="G37" s="161"/>
    </row>
    <row r="38" spans="2:8" s="147" customFormat="1" x14ac:dyDescent="0.45"/>
    <row r="39" spans="2:8" s="147" customFormat="1" ht="21.85" customHeight="1" x14ac:dyDescent="0.45">
      <c r="B39" s="160" t="s">
        <v>214</v>
      </c>
      <c r="C39" s="160"/>
      <c r="D39" s="160"/>
      <c r="E39" s="160"/>
      <c r="F39" s="160"/>
      <c r="G39" s="160"/>
      <c r="H39" s="27"/>
    </row>
    <row r="40" spans="2:8" s="147" customFormat="1" ht="21.85" customHeight="1" x14ac:dyDescent="0.45">
      <c r="B40" s="162" t="s">
        <v>262</v>
      </c>
      <c r="C40" s="162"/>
      <c r="D40" s="162"/>
      <c r="E40" s="162"/>
      <c r="F40" s="162" t="s">
        <v>207</v>
      </c>
      <c r="G40" s="162"/>
      <c r="H40" s="27"/>
    </row>
    <row r="41" spans="2:8" s="147" customFormat="1" ht="38.35" customHeight="1" x14ac:dyDescent="0.45">
      <c r="B41" s="163" t="s">
        <v>172</v>
      </c>
      <c r="C41" s="163"/>
      <c r="D41" s="163"/>
      <c r="E41" s="163"/>
      <c r="F41" s="161" t="s">
        <v>211</v>
      </c>
      <c r="G41" s="161"/>
    </row>
    <row r="42" spans="2:8" s="147" customFormat="1" ht="38.35" customHeight="1" x14ac:dyDescent="0.45">
      <c r="B42" s="163" t="s">
        <v>173</v>
      </c>
      <c r="C42" s="163"/>
      <c r="D42" s="163"/>
      <c r="E42" s="163"/>
      <c r="F42" s="161" t="s">
        <v>212</v>
      </c>
      <c r="G42" s="161"/>
    </row>
    <row r="43" spans="2:8" s="147" customFormat="1" ht="38.35" customHeight="1" x14ac:dyDescent="0.45">
      <c r="B43" s="163" t="s">
        <v>174</v>
      </c>
      <c r="C43" s="163"/>
      <c r="D43" s="163"/>
      <c r="E43" s="163"/>
      <c r="F43" s="161" t="s">
        <v>213</v>
      </c>
      <c r="G43" s="161"/>
    </row>
    <row r="44" spans="2:8" s="147" customFormat="1" x14ac:dyDescent="0.45"/>
    <row r="45" spans="2:8" s="147" customFormat="1" x14ac:dyDescent="0.45"/>
    <row r="46" spans="2:8" s="147" customFormat="1" x14ac:dyDescent="0.45"/>
    <row r="47" spans="2:8" s="147" customFormat="1" x14ac:dyDescent="0.45"/>
    <row r="48" spans="2:8" s="147" customFormat="1" x14ac:dyDescent="0.45"/>
    <row r="49" s="147" customFormat="1" x14ac:dyDescent="0.45"/>
    <row r="50" s="147" customFormat="1" x14ac:dyDescent="0.45"/>
    <row r="51" s="147" customFormat="1" x14ac:dyDescent="0.45"/>
    <row r="52" s="147" customFormat="1" x14ac:dyDescent="0.45"/>
    <row r="53" s="147" customFormat="1" x14ac:dyDescent="0.45"/>
    <row r="54" s="147" customFormat="1" x14ac:dyDescent="0.45"/>
    <row r="55" s="147" customFormat="1" x14ac:dyDescent="0.45"/>
    <row r="56" s="147" customFormat="1" x14ac:dyDescent="0.45"/>
    <row r="57" s="147" customFormat="1" x14ac:dyDescent="0.45"/>
    <row r="58" s="147" customFormat="1" x14ac:dyDescent="0.45"/>
    <row r="59" s="147" customFormat="1" x14ac:dyDescent="0.45"/>
    <row r="60" s="147" customFormat="1" x14ac:dyDescent="0.45"/>
    <row r="61" s="147" customFormat="1" x14ac:dyDescent="0.45"/>
    <row r="62" s="147" customFormat="1" x14ac:dyDescent="0.45"/>
    <row r="63" s="147" customFormat="1" x14ac:dyDescent="0.45"/>
    <row r="64" s="147" customFormat="1" x14ac:dyDescent="0.45"/>
    <row r="65" s="147" customFormat="1" x14ac:dyDescent="0.45"/>
    <row r="66" s="147" customFormat="1" x14ac:dyDescent="0.45"/>
    <row r="67" s="147" customFormat="1" x14ac:dyDescent="0.45"/>
    <row r="68" s="147" customFormat="1" x14ac:dyDescent="0.45"/>
    <row r="69" s="147" customFormat="1" x14ac:dyDescent="0.45"/>
    <row r="70" s="147" customFormat="1" x14ac:dyDescent="0.45"/>
    <row r="71" s="147" customFormat="1" x14ac:dyDescent="0.45"/>
    <row r="72" s="147" customFormat="1" x14ac:dyDescent="0.45"/>
    <row r="73" s="147" customFormat="1" x14ac:dyDescent="0.45"/>
    <row r="74" s="147" customFormat="1" x14ac:dyDescent="0.45"/>
    <row r="75" s="147" customFormat="1" x14ac:dyDescent="0.45"/>
    <row r="76" s="147" customFormat="1" x14ac:dyDescent="0.45"/>
    <row r="77" s="147" customFormat="1" x14ac:dyDescent="0.45"/>
    <row r="78" s="147" customFormat="1" x14ac:dyDescent="0.45"/>
    <row r="79" s="147" customFormat="1" x14ac:dyDescent="0.45"/>
    <row r="80" s="147" customFormat="1" x14ac:dyDescent="0.45"/>
    <row r="81" s="147" customFormat="1" x14ac:dyDescent="0.45"/>
    <row r="82" s="147" customFormat="1" x14ac:dyDescent="0.45"/>
    <row r="83" s="147" customFormat="1" x14ac:dyDescent="0.45"/>
    <row r="84" s="147" customFormat="1" x14ac:dyDescent="0.45"/>
    <row r="85" s="147" customFormat="1" x14ac:dyDescent="0.45"/>
    <row r="86" s="147" customFormat="1" x14ac:dyDescent="0.45"/>
    <row r="87" s="147" customFormat="1" x14ac:dyDescent="0.45"/>
    <row r="88" s="147" customFormat="1" x14ac:dyDescent="0.45"/>
    <row r="89" s="147" customFormat="1" x14ac:dyDescent="0.45"/>
    <row r="90" s="147" customFormat="1" x14ac:dyDescent="0.45"/>
    <row r="91" s="147" customFormat="1" x14ac:dyDescent="0.45"/>
    <row r="92" s="147" customFormat="1" x14ac:dyDescent="0.45"/>
    <row r="93" s="147" customFormat="1" x14ac:dyDescent="0.45"/>
    <row r="94" s="147" customFormat="1" x14ac:dyDescent="0.45"/>
    <row r="95" s="147" customFormat="1" x14ac:dyDescent="0.45"/>
    <row r="96" s="147" customFormat="1" x14ac:dyDescent="0.45"/>
    <row r="97" s="147" customFormat="1" x14ac:dyDescent="0.45"/>
    <row r="98" s="147" customFormat="1" x14ac:dyDescent="0.45"/>
    <row r="99" s="147" customFormat="1" x14ac:dyDescent="0.45"/>
    <row r="100" s="147" customFormat="1" x14ac:dyDescent="0.45"/>
    <row r="101" s="147" customFormat="1" x14ac:dyDescent="0.45"/>
    <row r="102" s="147" customFormat="1" x14ac:dyDescent="0.45"/>
    <row r="103" s="147" customFormat="1" x14ac:dyDescent="0.45"/>
    <row r="104" s="147" customFormat="1" x14ac:dyDescent="0.45"/>
    <row r="105" s="147" customFormat="1" x14ac:dyDescent="0.45"/>
    <row r="106" s="147" customFormat="1" x14ac:dyDescent="0.45"/>
    <row r="107" s="147" customFormat="1" x14ac:dyDescent="0.45"/>
    <row r="108" s="147" customFormat="1" x14ac:dyDescent="0.45"/>
    <row r="109" s="147" customFormat="1" x14ac:dyDescent="0.45"/>
    <row r="110" s="147" customFormat="1" x14ac:dyDescent="0.45"/>
    <row r="111" s="147" customFormat="1" x14ac:dyDescent="0.45"/>
    <row r="112" s="147" customFormat="1" x14ac:dyDescent="0.45"/>
    <row r="113" s="147" customFormat="1" x14ac:dyDescent="0.45"/>
    <row r="114" s="147" customFormat="1" x14ac:dyDescent="0.45"/>
    <row r="115" s="147" customFormat="1" x14ac:dyDescent="0.45"/>
    <row r="116" s="147" customFormat="1" x14ac:dyDescent="0.45"/>
    <row r="117" s="147" customFormat="1" x14ac:dyDescent="0.45"/>
    <row r="118" s="147" customFormat="1" x14ac:dyDescent="0.45"/>
    <row r="119" s="147" customFormat="1" x14ac:dyDescent="0.45"/>
    <row r="120" s="147" customFormat="1" x14ac:dyDescent="0.45"/>
    <row r="121" s="147" customFormat="1" x14ac:dyDescent="0.45"/>
    <row r="122" s="147" customFormat="1" x14ac:dyDescent="0.45"/>
    <row r="123" s="147" customFormat="1" x14ac:dyDescent="0.45"/>
    <row r="124" s="147" customFormat="1" x14ac:dyDescent="0.45"/>
    <row r="125" s="147" customFormat="1" x14ac:dyDescent="0.45"/>
    <row r="126" s="147" customFormat="1" x14ac:dyDescent="0.45"/>
    <row r="127" s="147" customFormat="1" x14ac:dyDescent="0.45"/>
    <row r="128" s="147" customFormat="1" x14ac:dyDescent="0.45"/>
    <row r="129" s="147" customFormat="1" x14ac:dyDescent="0.45"/>
    <row r="130" s="147" customFormat="1" x14ac:dyDescent="0.45"/>
    <row r="131" s="147" customFormat="1" x14ac:dyDescent="0.45"/>
    <row r="132" s="147" customFormat="1" x14ac:dyDescent="0.45"/>
    <row r="133" s="147" customFormat="1" x14ac:dyDescent="0.45"/>
    <row r="134" s="147" customFormat="1" x14ac:dyDescent="0.45"/>
    <row r="135" s="147" customFormat="1" x14ac:dyDescent="0.45"/>
    <row r="136" s="147" customFormat="1" x14ac:dyDescent="0.45"/>
    <row r="137" s="147" customFormat="1" x14ac:dyDescent="0.45"/>
    <row r="138" s="147" customFormat="1" x14ac:dyDescent="0.45"/>
    <row r="139" s="147" customFormat="1" x14ac:dyDescent="0.45"/>
    <row r="140" s="147" customFormat="1" x14ac:dyDescent="0.45"/>
    <row r="141" s="147" customFormat="1" x14ac:dyDescent="0.45"/>
    <row r="142" s="147" customFormat="1" x14ac:dyDescent="0.45"/>
    <row r="143" s="147" customFormat="1" x14ac:dyDescent="0.45"/>
    <row r="144" s="147" customFormat="1" x14ac:dyDescent="0.45"/>
    <row r="145" s="147" customFormat="1" x14ac:dyDescent="0.45"/>
    <row r="146" s="147" customFormat="1" x14ac:dyDescent="0.45"/>
    <row r="147" s="147" customFormat="1" x14ac:dyDescent="0.45"/>
    <row r="148" s="147" customFormat="1" x14ac:dyDescent="0.45"/>
    <row r="149" s="147" customFormat="1" x14ac:dyDescent="0.45"/>
    <row r="150" s="147" customFormat="1" x14ac:dyDescent="0.45"/>
    <row r="151" s="147" customFormat="1" x14ac:dyDescent="0.45"/>
    <row r="152" s="147" customFormat="1" x14ac:dyDescent="0.45"/>
    <row r="153" s="147" customFormat="1" x14ac:dyDescent="0.45"/>
    <row r="154" s="147" customFormat="1" x14ac:dyDescent="0.45"/>
    <row r="155" s="147" customFormat="1" x14ac:dyDescent="0.45"/>
    <row r="156" s="147" customFormat="1" x14ac:dyDescent="0.45"/>
    <row r="157" s="147" customFormat="1" x14ac:dyDescent="0.45"/>
    <row r="158" s="147" customFormat="1" x14ac:dyDescent="0.45"/>
    <row r="159" s="147" customFormat="1" x14ac:dyDescent="0.45"/>
    <row r="160" s="147" customFormat="1" x14ac:dyDescent="0.45"/>
    <row r="161" s="147" customFormat="1" x14ac:dyDescent="0.45"/>
    <row r="162" s="147" customFormat="1" x14ac:dyDescent="0.45"/>
    <row r="163" s="147" customFormat="1" x14ac:dyDescent="0.45"/>
    <row r="164" s="147" customFormat="1" x14ac:dyDescent="0.45"/>
    <row r="165" s="147" customFormat="1" x14ac:dyDescent="0.45"/>
    <row r="166" s="147" customFormat="1" x14ac:dyDescent="0.45"/>
    <row r="167" s="147" customFormat="1" x14ac:dyDescent="0.45"/>
    <row r="168" s="147" customFormat="1" x14ac:dyDescent="0.45"/>
    <row r="169" s="147" customFormat="1" x14ac:dyDescent="0.45"/>
    <row r="170" s="147" customFormat="1" x14ac:dyDescent="0.45"/>
    <row r="171" s="147" customFormat="1" x14ac:dyDescent="0.45"/>
    <row r="172" s="147" customFormat="1" x14ac:dyDescent="0.45"/>
    <row r="173" s="147" customFormat="1" x14ac:dyDescent="0.45"/>
    <row r="174" s="147" customFormat="1" x14ac:dyDescent="0.45"/>
    <row r="175" s="147" customFormat="1" x14ac:dyDescent="0.45"/>
    <row r="176" s="147" customFormat="1" x14ac:dyDescent="0.45"/>
    <row r="177" s="147" customFormat="1" x14ac:dyDescent="0.45"/>
    <row r="178" s="147" customFormat="1" x14ac:dyDescent="0.45"/>
    <row r="179" s="147" customFormat="1" x14ac:dyDescent="0.45"/>
    <row r="180" s="147" customFormat="1" x14ac:dyDescent="0.45"/>
    <row r="181" s="147" customFormat="1" x14ac:dyDescent="0.45"/>
    <row r="182" s="147" customFormat="1" x14ac:dyDescent="0.45"/>
    <row r="183" s="147" customFormat="1" x14ac:dyDescent="0.45"/>
    <row r="184" s="147" customFormat="1" x14ac:dyDescent="0.45"/>
    <row r="185" s="147" customFormat="1" x14ac:dyDescent="0.45"/>
    <row r="186" s="147" customFormat="1" x14ac:dyDescent="0.45"/>
    <row r="187" s="147" customFormat="1" x14ac:dyDescent="0.45"/>
    <row r="188" s="147" customFormat="1" x14ac:dyDescent="0.45"/>
    <row r="189" s="147" customFormat="1" x14ac:dyDescent="0.45"/>
    <row r="190" s="147" customFormat="1" x14ac:dyDescent="0.45"/>
    <row r="191" s="147" customFormat="1" x14ac:dyDescent="0.45"/>
    <row r="192" s="147" customFormat="1" x14ac:dyDescent="0.45"/>
    <row r="193" s="147" customFormat="1" x14ac:dyDescent="0.45"/>
    <row r="194" s="147" customFormat="1" x14ac:dyDescent="0.45"/>
    <row r="195" s="147" customFormat="1" x14ac:dyDescent="0.45"/>
    <row r="196" s="147" customFormat="1" x14ac:dyDescent="0.45"/>
    <row r="197" s="147" customFormat="1" x14ac:dyDescent="0.45"/>
    <row r="198" s="147" customFormat="1" x14ac:dyDescent="0.45"/>
    <row r="199" s="147" customFormat="1" x14ac:dyDescent="0.45"/>
    <row r="200" s="147" customFormat="1" x14ac:dyDescent="0.45"/>
    <row r="201" s="147" customFormat="1" x14ac:dyDescent="0.45"/>
    <row r="202" s="147" customFormat="1" x14ac:dyDescent="0.45"/>
    <row r="203" s="147" customFormat="1" x14ac:dyDescent="0.45"/>
    <row r="204" s="147" customFormat="1" x14ac:dyDescent="0.45"/>
    <row r="205" s="147" customFormat="1" x14ac:dyDescent="0.45"/>
    <row r="206" s="147" customFormat="1" x14ac:dyDescent="0.45"/>
    <row r="207" s="147" customFormat="1" x14ac:dyDescent="0.45"/>
    <row r="208" s="147" customFormat="1" x14ac:dyDescent="0.45"/>
    <row r="209" s="147" customFormat="1" x14ac:dyDescent="0.45"/>
    <row r="210" s="147" customFormat="1" x14ac:dyDescent="0.45"/>
    <row r="211" s="147" customFormat="1" x14ac:dyDescent="0.45"/>
    <row r="212" s="147" customFormat="1" x14ac:dyDescent="0.45"/>
    <row r="213" s="147" customFormat="1" x14ac:dyDescent="0.45"/>
    <row r="214" s="147" customFormat="1" x14ac:dyDescent="0.45"/>
    <row r="215" s="147" customFormat="1" x14ac:dyDescent="0.45"/>
    <row r="216" s="147" customFormat="1" x14ac:dyDescent="0.45"/>
    <row r="217" s="147" customFormat="1" x14ac:dyDescent="0.45"/>
    <row r="218" s="147" customFormat="1" x14ac:dyDescent="0.45"/>
    <row r="219" s="147" customFormat="1" x14ac:dyDescent="0.45"/>
    <row r="220" s="147" customFormat="1" x14ac:dyDescent="0.45"/>
    <row r="221" s="147" customFormat="1" x14ac:dyDescent="0.45"/>
    <row r="222" s="147" customFormat="1" x14ac:dyDescent="0.45"/>
    <row r="223" s="147" customFormat="1" x14ac:dyDescent="0.45"/>
    <row r="224" s="147" customFormat="1" x14ac:dyDescent="0.45"/>
    <row r="225" s="147" customFormat="1" x14ac:dyDescent="0.45"/>
    <row r="226" s="147" customFormat="1" x14ac:dyDescent="0.45"/>
    <row r="227" s="147" customFormat="1" x14ac:dyDescent="0.45"/>
    <row r="228" s="147" customFormat="1" x14ac:dyDescent="0.45"/>
    <row r="229" s="147" customFormat="1" x14ac:dyDescent="0.45"/>
    <row r="230" s="147" customFormat="1" x14ac:dyDescent="0.45"/>
    <row r="231" s="147" customFormat="1" x14ac:dyDescent="0.45"/>
    <row r="232" s="147" customFormat="1" x14ac:dyDescent="0.45"/>
    <row r="233" s="147" customFormat="1" x14ac:dyDescent="0.45"/>
    <row r="234" s="147" customFormat="1" x14ac:dyDescent="0.45"/>
    <row r="235" s="147" customFormat="1" x14ac:dyDescent="0.45"/>
    <row r="236" s="147" customFormat="1" x14ac:dyDescent="0.45"/>
    <row r="237" s="147" customFormat="1" x14ac:dyDescent="0.45"/>
    <row r="238" s="147" customFormat="1" x14ac:dyDescent="0.45"/>
    <row r="239" s="147" customFormat="1" x14ac:dyDescent="0.45"/>
    <row r="240" s="147" customFormat="1" x14ac:dyDescent="0.45"/>
    <row r="241" s="147" customFormat="1" x14ac:dyDescent="0.45"/>
    <row r="242" s="147" customFormat="1" x14ac:dyDescent="0.45"/>
    <row r="243" s="147" customFormat="1" x14ac:dyDescent="0.45"/>
    <row r="244" s="147" customFormat="1" x14ac:dyDescent="0.45"/>
    <row r="245" s="147" customFormat="1" x14ac:dyDescent="0.45"/>
    <row r="246" s="147" customFormat="1" x14ac:dyDescent="0.45"/>
    <row r="247" s="147" customFormat="1" x14ac:dyDescent="0.45"/>
    <row r="248" s="147" customFormat="1" x14ac:dyDescent="0.45"/>
    <row r="249" s="147" customFormat="1" x14ac:dyDescent="0.45"/>
    <row r="250" s="147" customFormat="1" x14ac:dyDescent="0.45"/>
    <row r="251" s="147" customFormat="1" x14ac:dyDescent="0.45"/>
    <row r="252" s="147" customFormat="1" x14ac:dyDescent="0.45"/>
    <row r="253" s="147" customFormat="1" x14ac:dyDescent="0.45"/>
    <row r="254" s="147" customFormat="1" x14ac:dyDescent="0.45"/>
    <row r="255" s="147" customFormat="1" x14ac:dyDescent="0.45"/>
    <row r="256" s="147" customFormat="1" x14ac:dyDescent="0.45"/>
    <row r="257" s="147" customFormat="1" x14ac:dyDescent="0.45"/>
    <row r="258" s="147" customFormat="1" x14ac:dyDescent="0.45"/>
    <row r="259" s="147" customFormat="1" x14ac:dyDescent="0.45"/>
    <row r="260" s="147" customFormat="1" x14ac:dyDescent="0.45"/>
    <row r="261" s="147" customFormat="1" x14ac:dyDescent="0.45"/>
    <row r="262" s="147" customFormat="1" x14ac:dyDescent="0.45"/>
    <row r="263" s="147" customFormat="1" x14ac:dyDescent="0.45"/>
    <row r="264" s="147" customFormat="1" x14ac:dyDescent="0.45"/>
    <row r="265" s="147" customFormat="1" x14ac:dyDescent="0.45"/>
    <row r="266" s="147" customFormat="1" x14ac:dyDescent="0.45"/>
    <row r="267" s="147" customFormat="1" x14ac:dyDescent="0.45"/>
    <row r="268" s="147" customFormat="1" x14ac:dyDescent="0.45"/>
    <row r="269" s="147" customFormat="1" x14ac:dyDescent="0.45"/>
    <row r="270" s="147" customFormat="1" x14ac:dyDescent="0.45"/>
    <row r="271" s="147" customFormat="1" x14ac:dyDescent="0.45"/>
    <row r="272" s="147" customFormat="1" x14ac:dyDescent="0.45"/>
    <row r="273" s="147" customFormat="1" x14ac:dyDescent="0.45"/>
    <row r="274" s="147" customFormat="1" x14ac:dyDescent="0.45"/>
    <row r="275" s="147" customFormat="1" x14ac:dyDescent="0.45"/>
    <row r="276" s="147" customFormat="1" x14ac:dyDescent="0.45"/>
    <row r="277" s="147" customFormat="1" x14ac:dyDescent="0.45"/>
    <row r="278" s="147" customFormat="1" x14ac:dyDescent="0.45"/>
    <row r="279" s="147" customFormat="1" x14ac:dyDescent="0.45"/>
    <row r="280" s="147" customFormat="1" x14ac:dyDescent="0.45"/>
    <row r="281" s="147" customFormat="1" x14ac:dyDescent="0.45"/>
    <row r="282" s="147" customFormat="1" x14ac:dyDescent="0.45"/>
    <row r="283" s="147" customFormat="1" x14ac:dyDescent="0.45"/>
    <row r="284" s="147" customFormat="1" x14ac:dyDescent="0.45"/>
    <row r="285" s="147" customFormat="1" x14ac:dyDescent="0.45"/>
    <row r="286" s="147" customFormat="1" x14ac:dyDescent="0.45"/>
    <row r="287" s="147" customFormat="1" x14ac:dyDescent="0.45"/>
    <row r="288" s="147" customFormat="1" x14ac:dyDescent="0.45"/>
    <row r="289" s="147" customFormat="1" x14ac:dyDescent="0.45"/>
    <row r="290" s="147" customFormat="1" x14ac:dyDescent="0.45"/>
    <row r="291" s="147" customFormat="1" x14ac:dyDescent="0.45"/>
    <row r="292" s="147" customFormat="1" x14ac:dyDescent="0.45"/>
    <row r="293" s="147" customFormat="1" x14ac:dyDescent="0.45"/>
    <row r="294" s="147" customFormat="1" x14ac:dyDescent="0.45"/>
    <row r="295" s="147" customFormat="1" x14ac:dyDescent="0.45"/>
    <row r="296" s="147" customFormat="1" x14ac:dyDescent="0.45"/>
    <row r="297" s="147" customFormat="1" x14ac:dyDescent="0.45"/>
    <row r="298" s="147" customFormat="1" x14ac:dyDescent="0.45"/>
    <row r="299" s="147" customFormat="1" x14ac:dyDescent="0.45"/>
    <row r="300" s="147" customFormat="1" x14ac:dyDescent="0.45"/>
    <row r="301" s="147" customFormat="1" x14ac:dyDescent="0.45"/>
    <row r="302" s="147" customFormat="1" x14ac:dyDescent="0.45"/>
    <row r="303" s="147" customFormat="1" x14ac:dyDescent="0.45"/>
    <row r="304" s="147" customFormat="1" x14ac:dyDescent="0.45"/>
    <row r="305" s="147" customFormat="1" x14ac:dyDescent="0.45"/>
    <row r="306" s="147" customFormat="1" x14ac:dyDescent="0.45"/>
    <row r="307" s="147" customFormat="1" x14ac:dyDescent="0.45"/>
    <row r="308" s="147" customFormat="1" x14ac:dyDescent="0.45"/>
    <row r="309" s="147" customFormat="1" x14ac:dyDescent="0.45"/>
    <row r="310" s="147" customFormat="1" x14ac:dyDescent="0.45"/>
    <row r="311" s="147" customFormat="1" x14ac:dyDescent="0.45"/>
    <row r="312" s="147" customFormat="1" x14ac:dyDescent="0.45"/>
    <row r="313" s="147" customFormat="1" x14ac:dyDescent="0.45"/>
    <row r="314" s="147" customFormat="1" x14ac:dyDescent="0.45"/>
    <row r="315" s="147" customFormat="1" x14ac:dyDescent="0.45"/>
    <row r="316" s="147" customFormat="1" x14ac:dyDescent="0.45"/>
    <row r="317" s="147" customFormat="1" x14ac:dyDescent="0.45"/>
    <row r="318" s="147" customFormat="1" x14ac:dyDescent="0.45"/>
    <row r="319" s="147" customFormat="1" x14ac:dyDescent="0.45"/>
    <row r="320" s="147" customFormat="1" x14ac:dyDescent="0.45"/>
    <row r="321" s="147" customFormat="1" x14ac:dyDescent="0.45"/>
    <row r="322" s="147" customFormat="1" x14ac:dyDescent="0.45"/>
    <row r="323" s="147" customFormat="1" x14ac:dyDescent="0.45"/>
    <row r="324" s="147" customFormat="1" x14ac:dyDescent="0.45"/>
    <row r="325" s="147" customFormat="1" x14ac:dyDescent="0.45"/>
    <row r="326" s="147" customFormat="1" x14ac:dyDescent="0.45"/>
    <row r="327" s="147" customFormat="1" x14ac:dyDescent="0.45"/>
    <row r="328" s="147" customFormat="1" x14ac:dyDescent="0.45"/>
    <row r="329" s="147" customFormat="1" x14ac:dyDescent="0.45"/>
    <row r="330" s="147" customFormat="1" x14ac:dyDescent="0.45"/>
    <row r="331" s="147" customFormat="1" x14ac:dyDescent="0.45"/>
    <row r="332" s="147" customFormat="1" x14ac:dyDescent="0.45"/>
    <row r="333" s="147" customFormat="1" x14ac:dyDescent="0.45"/>
    <row r="334" s="147" customFormat="1" x14ac:dyDescent="0.45"/>
    <row r="335" s="147" customFormat="1" x14ac:dyDescent="0.45"/>
    <row r="336" s="147" customFormat="1" x14ac:dyDescent="0.45"/>
    <row r="337" s="147" customFormat="1" x14ac:dyDescent="0.45"/>
    <row r="338" s="147" customFormat="1" x14ac:dyDescent="0.45"/>
    <row r="339" s="147" customFormat="1" x14ac:dyDescent="0.45"/>
    <row r="340" s="147" customFormat="1" x14ac:dyDescent="0.45"/>
    <row r="341" s="147" customFormat="1" x14ac:dyDescent="0.45"/>
    <row r="342" s="147" customFormat="1" x14ac:dyDescent="0.45"/>
    <row r="343" s="147" customFormat="1" x14ac:dyDescent="0.45"/>
    <row r="344" s="147" customFormat="1" x14ac:dyDescent="0.45"/>
    <row r="345" s="147" customFormat="1" x14ac:dyDescent="0.45"/>
    <row r="346" s="147" customFormat="1" x14ac:dyDescent="0.45"/>
    <row r="347" s="147" customFormat="1" x14ac:dyDescent="0.45"/>
    <row r="348" s="147" customFormat="1" x14ac:dyDescent="0.45"/>
    <row r="349" s="147" customFormat="1" x14ac:dyDescent="0.45"/>
    <row r="350" s="147" customFormat="1" x14ac:dyDescent="0.45"/>
    <row r="351" s="147" customFormat="1" x14ac:dyDescent="0.45"/>
    <row r="352" s="147" customFormat="1" x14ac:dyDescent="0.45"/>
    <row r="353" s="147" customFormat="1" x14ac:dyDescent="0.45"/>
    <row r="354" s="147" customFormat="1" x14ac:dyDescent="0.45"/>
    <row r="355" s="147" customFormat="1" x14ac:dyDescent="0.45"/>
    <row r="356" s="147" customFormat="1" x14ac:dyDescent="0.45"/>
    <row r="357" s="147" customFormat="1" x14ac:dyDescent="0.45"/>
    <row r="358" s="147" customFormat="1" x14ac:dyDescent="0.45"/>
    <row r="359" s="147" customFormat="1" x14ac:dyDescent="0.45"/>
    <row r="360" s="147" customFormat="1" x14ac:dyDescent="0.45"/>
    <row r="361" s="147" customFormat="1" x14ac:dyDescent="0.45"/>
    <row r="362" s="147" customFormat="1" x14ac:dyDescent="0.45"/>
    <row r="363" s="147" customFormat="1" x14ac:dyDescent="0.45"/>
    <row r="364" s="147" customFormat="1" x14ac:dyDescent="0.45"/>
    <row r="365" s="147" customFormat="1" x14ac:dyDescent="0.45"/>
    <row r="366" s="147" customFormat="1" x14ac:dyDescent="0.45"/>
    <row r="367" s="147" customFormat="1" x14ac:dyDescent="0.45"/>
    <row r="368" s="147" customFormat="1" x14ac:dyDescent="0.45"/>
    <row r="369" s="147" customFormat="1" x14ac:dyDescent="0.45"/>
    <row r="370" s="147" customFormat="1" x14ac:dyDescent="0.45"/>
    <row r="371" s="147" customFormat="1" x14ac:dyDescent="0.45"/>
    <row r="372" s="147" customFormat="1" x14ac:dyDescent="0.45"/>
    <row r="373" s="147" customFormat="1" x14ac:dyDescent="0.45"/>
    <row r="374" s="147" customFormat="1" x14ac:dyDescent="0.45"/>
    <row r="375" s="147" customFormat="1" x14ac:dyDescent="0.45"/>
    <row r="376" s="147" customFormat="1" x14ac:dyDescent="0.45"/>
    <row r="377" s="147" customFormat="1" x14ac:dyDescent="0.45"/>
    <row r="378" s="147" customFormat="1" x14ac:dyDescent="0.45"/>
    <row r="379" s="147" customFormat="1" x14ac:dyDescent="0.45"/>
    <row r="380" s="147" customFormat="1" x14ac:dyDescent="0.45"/>
    <row r="381" s="147" customFormat="1" x14ac:dyDescent="0.45"/>
    <row r="382" s="147" customFormat="1" x14ac:dyDescent="0.45"/>
    <row r="383" s="147" customFormat="1" x14ac:dyDescent="0.45"/>
    <row r="384" s="147" customFormat="1" x14ac:dyDescent="0.45"/>
    <row r="385" s="147" customFormat="1" x14ac:dyDescent="0.45"/>
    <row r="386" s="147" customFormat="1" x14ac:dyDescent="0.45"/>
    <row r="387" s="147" customFormat="1" x14ac:dyDescent="0.45"/>
    <row r="388" s="147" customFormat="1" x14ac:dyDescent="0.45"/>
    <row r="389" s="147" customFormat="1" x14ac:dyDescent="0.45"/>
    <row r="390" s="147" customFormat="1" x14ac:dyDescent="0.45"/>
    <row r="391" s="147" customFormat="1" x14ac:dyDescent="0.45"/>
    <row r="392" s="147" customFormat="1" x14ac:dyDescent="0.45"/>
    <row r="393" s="147" customFormat="1" x14ac:dyDescent="0.45"/>
    <row r="394" s="147" customFormat="1" x14ac:dyDescent="0.45"/>
    <row r="395" s="147" customFormat="1" x14ac:dyDescent="0.45"/>
    <row r="396" s="147" customFormat="1" x14ac:dyDescent="0.45"/>
    <row r="397" s="147" customFormat="1" x14ac:dyDescent="0.45"/>
    <row r="398" s="147" customFormat="1" x14ac:dyDescent="0.45"/>
    <row r="399" s="147" customFormat="1" x14ac:dyDescent="0.45"/>
    <row r="400" s="147" customFormat="1" x14ac:dyDescent="0.45"/>
    <row r="401" s="147" customFormat="1" x14ac:dyDescent="0.45"/>
    <row r="402" s="147" customFormat="1" x14ac:dyDescent="0.45"/>
    <row r="403" s="147" customFormat="1" x14ac:dyDescent="0.45"/>
    <row r="404" s="147" customFormat="1" x14ac:dyDescent="0.45"/>
    <row r="405" s="147" customFormat="1" x14ac:dyDescent="0.45"/>
    <row r="406" s="147" customFormat="1" x14ac:dyDescent="0.45"/>
    <row r="407" s="147" customFormat="1" x14ac:dyDescent="0.45"/>
    <row r="408" s="147" customFormat="1" x14ac:dyDescent="0.45"/>
    <row r="409" s="147" customFormat="1" x14ac:dyDescent="0.45"/>
    <row r="410" s="147" customFormat="1" x14ac:dyDescent="0.45"/>
    <row r="411" s="147" customFormat="1" x14ac:dyDescent="0.45"/>
    <row r="412" s="147" customFormat="1" x14ac:dyDescent="0.45"/>
    <row r="413" s="147" customFormat="1" x14ac:dyDescent="0.45"/>
    <row r="414" s="147" customFormat="1" x14ac:dyDescent="0.45"/>
    <row r="415" s="147" customFormat="1" x14ac:dyDescent="0.45"/>
    <row r="416" s="147" customFormat="1" x14ac:dyDescent="0.45"/>
    <row r="417" s="147" customFormat="1" x14ac:dyDescent="0.45"/>
    <row r="418" s="147" customFormat="1" x14ac:dyDescent="0.45"/>
    <row r="419" s="147" customFormat="1" x14ac:dyDescent="0.45"/>
    <row r="420" s="147" customFormat="1" x14ac:dyDescent="0.45"/>
    <row r="421" s="147" customFormat="1" x14ac:dyDescent="0.45"/>
    <row r="422" s="147" customFormat="1" x14ac:dyDescent="0.45"/>
    <row r="423" s="147" customFormat="1" x14ac:dyDescent="0.45"/>
    <row r="424" s="147" customFormat="1" x14ac:dyDescent="0.45"/>
    <row r="425" s="147" customFormat="1" x14ac:dyDescent="0.45"/>
    <row r="426" s="147" customFormat="1" x14ac:dyDescent="0.45"/>
    <row r="427" s="147" customFormat="1" x14ac:dyDescent="0.45"/>
    <row r="428" s="147" customFormat="1" x14ac:dyDescent="0.45"/>
    <row r="429" s="147" customFormat="1" x14ac:dyDescent="0.45"/>
    <row r="430" s="147" customFormat="1" x14ac:dyDescent="0.45"/>
    <row r="431" s="147" customFormat="1" x14ac:dyDescent="0.45"/>
    <row r="432" s="147" customFormat="1" x14ac:dyDescent="0.45"/>
    <row r="433" s="147" customFormat="1" x14ac:dyDescent="0.45"/>
    <row r="434" s="147" customFormat="1" x14ac:dyDescent="0.45"/>
    <row r="435" s="147" customFormat="1" x14ac:dyDescent="0.45"/>
    <row r="436" s="147" customFormat="1" x14ac:dyDescent="0.45"/>
    <row r="437" s="147" customFormat="1" x14ac:dyDescent="0.45"/>
    <row r="438" s="147" customFormat="1" x14ac:dyDescent="0.45"/>
    <row r="439" s="147" customFormat="1" x14ac:dyDescent="0.45"/>
    <row r="440" s="147" customFormat="1" x14ac:dyDescent="0.45"/>
    <row r="441" s="147" customFormat="1" x14ac:dyDescent="0.45"/>
    <row r="442" s="147" customFormat="1" x14ac:dyDescent="0.45"/>
  </sheetData>
  <mergeCells count="41">
    <mergeCell ref="B42:E42"/>
    <mergeCell ref="F42:G42"/>
    <mergeCell ref="B43:E43"/>
    <mergeCell ref="F43:G43"/>
    <mergeCell ref="B37:E37"/>
    <mergeCell ref="F37:G37"/>
    <mergeCell ref="B39:G39"/>
    <mergeCell ref="B40:E40"/>
    <mergeCell ref="F40:G40"/>
    <mergeCell ref="B41:E41"/>
    <mergeCell ref="F41:G41"/>
    <mergeCell ref="B17:B18"/>
    <mergeCell ref="B34:E34"/>
    <mergeCell ref="F34:G34"/>
    <mergeCell ref="B35:E35"/>
    <mergeCell ref="F35:G35"/>
    <mergeCell ref="B36:E36"/>
    <mergeCell ref="F36:G36"/>
    <mergeCell ref="C8:G8"/>
    <mergeCell ref="C6:G6"/>
    <mergeCell ref="C5:G5"/>
    <mergeCell ref="B5:B6"/>
    <mergeCell ref="B8:B9"/>
    <mergeCell ref="B11:B12"/>
    <mergeCell ref="C18:G18"/>
    <mergeCell ref="C17:G17"/>
    <mergeCell ref="C15:G15"/>
    <mergeCell ref="C14:G14"/>
    <mergeCell ref="C12:G12"/>
    <mergeCell ref="C11:G11"/>
    <mergeCell ref="C9:G9"/>
    <mergeCell ref="B14:B15"/>
    <mergeCell ref="B33:G33"/>
    <mergeCell ref="B2:G2"/>
    <mergeCell ref="B3:G3"/>
    <mergeCell ref="B20:G20"/>
    <mergeCell ref="B21:D21"/>
    <mergeCell ref="B22:D22"/>
    <mergeCell ref="B24:G24"/>
    <mergeCell ref="B25:D25"/>
    <mergeCell ref="B29:G3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88DE-1CF6-4BC1-BB92-499271E43005}">
  <dimension ref="B2:G20"/>
  <sheetViews>
    <sheetView showGridLines="0" workbookViewId="0">
      <selection activeCell="M50" sqref="M50"/>
    </sheetView>
  </sheetViews>
  <sheetFormatPr defaultRowHeight="14.25" x14ac:dyDescent="0.45"/>
  <cols>
    <col min="1" max="1" width="4.53125" customWidth="1"/>
    <col min="5" max="7" width="15.59765625" style="196" customWidth="1"/>
  </cols>
  <sheetData>
    <row r="2" spans="2:7" x14ac:dyDescent="0.45">
      <c r="B2" s="287" t="s">
        <v>278</v>
      </c>
      <c r="C2" s="287" t="s">
        <v>265</v>
      </c>
      <c r="E2" s="287" t="s">
        <v>202</v>
      </c>
      <c r="F2" s="287" t="s">
        <v>203</v>
      </c>
      <c r="G2" s="287" t="s">
        <v>279</v>
      </c>
    </row>
    <row r="3" spans="2:7" x14ac:dyDescent="0.45">
      <c r="B3" s="26" t="s">
        <v>269</v>
      </c>
      <c r="C3" s="26">
        <v>3</v>
      </c>
      <c r="E3" s="26" t="s">
        <v>266</v>
      </c>
      <c r="F3" s="26" t="s">
        <v>267</v>
      </c>
      <c r="G3" s="26" t="s">
        <v>268</v>
      </c>
    </row>
    <row r="4" spans="2:7" x14ac:dyDescent="0.45">
      <c r="B4" s="26" t="s">
        <v>270</v>
      </c>
      <c r="C4" s="26">
        <v>1</v>
      </c>
      <c r="E4" s="26" t="s">
        <v>13</v>
      </c>
      <c r="F4" s="26" t="s">
        <v>13</v>
      </c>
      <c r="G4" s="26" t="s">
        <v>13</v>
      </c>
    </row>
    <row r="5" spans="2:7" x14ac:dyDescent="0.45">
      <c r="B5" s="26" t="s">
        <v>271</v>
      </c>
      <c r="C5" s="26">
        <v>2</v>
      </c>
    </row>
    <row r="6" spans="2:7" x14ac:dyDescent="0.45">
      <c r="B6" s="26" t="s">
        <v>272</v>
      </c>
      <c r="C6" s="26">
        <v>6</v>
      </c>
    </row>
    <row r="7" spans="2:7" x14ac:dyDescent="0.45">
      <c r="B7" s="26" t="s">
        <v>273</v>
      </c>
      <c r="C7" s="26">
        <v>4</v>
      </c>
    </row>
    <row r="8" spans="2:7" x14ac:dyDescent="0.45">
      <c r="B8" s="26" t="s">
        <v>274</v>
      </c>
      <c r="C8" s="26">
        <v>5</v>
      </c>
    </row>
    <row r="9" spans="2:7" x14ac:dyDescent="0.45">
      <c r="B9" s="26" t="s">
        <v>275</v>
      </c>
      <c r="C9" s="26">
        <v>9</v>
      </c>
    </row>
    <row r="10" spans="2:7" x14ac:dyDescent="0.45">
      <c r="B10" s="26" t="s">
        <v>276</v>
      </c>
      <c r="C10" s="26">
        <v>7</v>
      </c>
    </row>
    <row r="11" spans="2:7" x14ac:dyDescent="0.45">
      <c r="B11" s="26" t="s">
        <v>277</v>
      </c>
      <c r="C11" s="26">
        <v>8</v>
      </c>
    </row>
    <row r="12" spans="2:7" x14ac:dyDescent="0.45">
      <c r="B12" s="26" t="s">
        <v>280</v>
      </c>
      <c r="C12" s="26" t="s">
        <v>289</v>
      </c>
    </row>
    <row r="13" spans="2:7" x14ac:dyDescent="0.45">
      <c r="B13" s="26" t="s">
        <v>281</v>
      </c>
      <c r="C13" s="26" t="s">
        <v>289</v>
      </c>
    </row>
    <row r="14" spans="2:7" x14ac:dyDescent="0.45">
      <c r="B14" s="26" t="s">
        <v>282</v>
      </c>
      <c r="C14" s="26" t="s">
        <v>289</v>
      </c>
    </row>
    <row r="15" spans="2:7" x14ac:dyDescent="0.45">
      <c r="B15" s="26" t="s">
        <v>283</v>
      </c>
      <c r="C15" s="26" t="s">
        <v>289</v>
      </c>
    </row>
    <row r="16" spans="2:7" x14ac:dyDescent="0.45">
      <c r="B16" s="26" t="s">
        <v>284</v>
      </c>
      <c r="C16" s="26" t="s">
        <v>289</v>
      </c>
    </row>
    <row r="17" spans="2:3" x14ac:dyDescent="0.45">
      <c r="B17" s="26" t="s">
        <v>285</v>
      </c>
      <c r="C17" s="26" t="s">
        <v>289</v>
      </c>
    </row>
    <row r="18" spans="2:3" x14ac:dyDescent="0.45">
      <c r="B18" s="26" t="s">
        <v>286</v>
      </c>
      <c r="C18" s="26" t="s">
        <v>289</v>
      </c>
    </row>
    <row r="19" spans="2:3" x14ac:dyDescent="0.45">
      <c r="B19" s="26" t="s">
        <v>287</v>
      </c>
      <c r="C19" s="26" t="s">
        <v>289</v>
      </c>
    </row>
    <row r="20" spans="2:3" x14ac:dyDescent="0.45">
      <c r="B20" s="26" t="s">
        <v>288</v>
      </c>
      <c r="C20" s="26" t="s">
        <v>289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mments xmlns="578d271d-64f6-4d10-86b1-e0add0654a68" xsi:nil="true"/>
    <SharedWithUsers xmlns="a347f58d-4302-446a-ab42-cc75a7739f24">
      <UserInfo>
        <DisplayName/>
        <AccountId xsi:nil="true"/>
        <AccountType/>
      </UserInfo>
    </SharedWithUsers>
    <Auditable_Date xmlns="578d271d-64f6-4d10-86b1-e0add0654a68" xsi:nil="true"/>
    <ndde548dbdb34e1caabcb8a096a8c5b3 xmlns="578d271d-64f6-4d10-86b1-e0add0654a68">
      <Terms xmlns="http://schemas.microsoft.com/office/infopath/2007/PartnerControls">
        <TermInfo xmlns="http://schemas.microsoft.com/office/infopath/2007/PartnerControls">
          <TermName xmlns="http://schemas.microsoft.com/office/infopath/2007/PartnerControls">1 year</TermName>
          <TermId xmlns="http://schemas.microsoft.com/office/infopath/2007/PartnerControls">e6849b94-7dd1-4cf9-b808-5237b4297a8b</TermId>
        </TermInfo>
      </Terms>
    </ndde548dbdb34e1caabcb8a096a8c5b3>
    <_Version xmlns="http://schemas.microsoft.com/sharepoint/v3/fields">3.2</_Version>
    <Document_x0020_Grade xmlns="578d271d-64f6-4d10-86b1-e0add0654a68" xsi:nil="true"/>
    <eDocument_x0020_Category xmlns="578d271d-64f6-4d10-86b1-e0add0654a68">07 - Supporting Document/Tool</eDocument_x0020_Category>
    <Approved_x0020_Date xmlns="578d271d-64f6-4d10-86b1-e0add0654a68">2022-01-01T08:00:00+00:00</Approved_x0020_Date>
    <hb0e12d1efdb4f92b222828cd96c3fc7 xmlns="578d271d-64f6-4d10-86b1-e0add0654a68">
      <Terms xmlns="http://schemas.microsoft.com/office/infopath/2007/PartnerControls">
        <TermInfo xmlns="http://schemas.microsoft.com/office/infopath/2007/PartnerControls">
          <TermName xmlns="http://schemas.microsoft.com/office/infopath/2007/PartnerControls">English</TermName>
          <TermId xmlns="http://schemas.microsoft.com/office/infopath/2007/PartnerControls">90d1c4c8-3fbb-4b16-a87e-1a1dc58832f4</TermId>
        </TermInfo>
      </Terms>
    </hb0e12d1efdb4f92b222828cd96c3fc7>
    <a5c4baeaf0af4f6ca5920061d44956cd xmlns="578d271d-64f6-4d10-86b1-e0add0654a68">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4fe7bc1c-f731-4c1b-a66f-6e1c3d09ad8e</TermId>
        </TermInfo>
      </Terms>
    </a5c4baeaf0af4f6ca5920061d44956cd>
    <PSPDocNo xmlns="578d271d-64f6-4d10-86b1-e0add0654a68" xsi:nil="true"/>
    <HSEC_x0020_Language xmlns="578d271d-64f6-4d10-86b1-e0add0654a68"/>
    <Status_Metadata_Update xmlns="578d271d-64f6-4d10-86b1-e0add0654a68">Done</Status_Metadata_Update>
    <pc767d1c03c7462a920dd1480214dee3 xmlns="578d271d-64f6-4d10-86b1-e0add0654a68">
      <Terms xmlns="http://schemas.microsoft.com/office/infopath/2007/PartnerControls">
        <TermInfo xmlns="http://schemas.microsoft.com/office/infopath/2007/PartnerControls">
          <TermName xmlns="http://schemas.microsoft.com/office/infopath/2007/PartnerControls">Managed</TermName>
          <TermId xmlns="http://schemas.microsoft.com/office/infopath/2007/PartnerControls">859f22fd-f3eb-472a-bc1f-6b48cfd407fb</TermId>
        </TermInfo>
      </Terms>
    </pc767d1c03c7462a920dd1480214dee3>
    <Supersedes xmlns="578d271d-64f6-4d10-86b1-e0add0654a68" xsi:nil="true"/>
    <lb22e30c999840ef88c23826b4a7fa33 xmlns="578d271d-64f6-4d10-86b1-e0add0654a68">
      <Terms xmlns="http://schemas.microsoft.com/office/infopath/2007/PartnerControls">
        <TermInfo xmlns="http://schemas.microsoft.com/office/infopath/2007/PartnerControls">
          <TermName xmlns="http://schemas.microsoft.com/office/infopath/2007/PartnerControls">Element 16. Performance assessment and auditing</TermName>
          <TermId xmlns="http://schemas.microsoft.com/office/infopath/2007/PartnerControls">4c42f5cd-3d5d-4f39-ba40-4274a44e2348</TermId>
        </TermInfo>
      </Terms>
    </lb22e30c999840ef88c23826b4a7fa33>
    <Owner xmlns="578d271d-64f6-4d10-86b1-e0add0654a68">Safety AoE</Owner>
    <Effective_x0020_Date xmlns="578d271d-64f6-4d10-86b1-e0add0654a68">2022-01-01T08:00:00+00:00</Effective_x0020_Date>
    <Content_x0020_Type xmlns="578d271d-64f6-4d10-86b1-e0add0654a68">Document</Content_x0020_Type>
    <HSEC_x0020_Owner xmlns="578d271d-64f6-4d10-86b1-e0add0654a68">Safety AoE</HSEC_x0020_Owner>
    <HSEC_x0020_Discipline xmlns="578d271d-64f6-4d10-86b1-e0add0654a68" xsi:nil="true"/>
    <Element_x0020__x002f__x0020_Performance_x0020_Std_x0020_No_x002e_ xmlns="578d271d-64f6-4d10-86b1-e0add0654a68">Element 16. Performance assessment and auditing</Element_x0020__x002f__x0020_Performance_x0020_Std_x0020_No_x002e_>
    <Important_x0020_Updates xmlns="578d271d-64f6-4d10-86b1-e0add0654a68" xsi:nil="true"/>
    <Links xmlns="578d271d-64f6-4d10-86b1-e0add0654a68">
      <Url xsi:nil="true"/>
      <Description xsi:nil="true"/>
    </Links>
    <Last_x0020_Review_x0020__x0028_M_x0029_ xmlns="578d271d-64f6-4d10-86b1-e0add0654a68">2023-07-28T07:00:00+00:00</Last_x0020_Review_x0020__x0028_M_x0029_>
    <gc7238ac6002439d8ea2ddda769ee916 xmlns="578d271d-64f6-4d10-86b1-e0add0654a68">
      <Terms xmlns="http://schemas.microsoft.com/office/infopath/2007/PartnerControls">
        <TermInfo xmlns="http://schemas.microsoft.com/office/infopath/2007/PartnerControls">
          <TermName xmlns="http://schemas.microsoft.com/office/infopath/2007/PartnerControls">Template (TEM)</TermName>
          <TermId xmlns="http://schemas.microsoft.com/office/infopath/2007/PartnerControls">d9a2a0c2-9c58-4e4b-ac62-1a9fcfef8624</TermId>
        </TermInfo>
      </Terms>
    </gc7238ac6002439d8ea2ddda769ee916>
    <TaxCatchAll xmlns="931c1786-c50f-4dd1-b157-a2f8f44a625f">
      <Value>32</Value>
      <Value>26</Value>
      <Value>75</Value>
      <Value>74</Value>
      <Value>22</Value>
      <Value>73</Value>
      <Value>69</Value>
    </TaxCatchAll>
    <i35d54d66fd1429884ea159b06a58b83 xmlns="578d271d-64f6-4d10-86b1-e0add0654a68">
      <Terms xmlns="http://schemas.microsoft.com/office/infopath/2007/PartnerControls"/>
    </i35d54d66fd1429884ea159b06a58b83>
    <fbbbadb3914b40958822492b8782daaa xmlns="578d271d-64f6-4d10-86b1-e0add0654a68">
      <Terms xmlns="http://schemas.microsoft.com/office/infopath/2007/PartnerControls"/>
    </fbbbadb3914b40958822492b8782daaa>
    <Created_x0020_On_x0020__x0028_M_x0029_ xmlns="578d271d-64f6-4d10-86b1-e0add0654a68" xsi:nil="true"/>
    <CommentsforRevision xmlns="578d271d-64f6-4d10-86b1-e0add0654a68" xsi:nil="true"/>
    <Lastreviewedby xmlns="578d271d-64f6-4d10-86b1-e0add0654a68">Carter, Meredith</Lastreviewedby>
    <i15579b4c2064bc487e4daebc8b35f47 xmlns="578d271d-64f6-4d10-86b1-e0add0654a68">
      <Terms xmlns="http://schemas.microsoft.com/office/infopath/2007/PartnerControls">
        <TermInfo xmlns="http://schemas.microsoft.com/office/infopath/2007/PartnerControls">
          <TermName xmlns="http://schemas.microsoft.com/office/infopath/2007/PartnerControls">Safety</TermName>
          <TermId xmlns="http://schemas.microsoft.com/office/infopath/2007/PartnerControls">3ee02cd9-6615-4551-9a2d-7f18eecfbf9e</TermId>
        </TermInfo>
      </Terms>
    </i15579b4c2064bc487e4daebc8b35f47>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02B0D3528ABA949B737F623B973AF28" ma:contentTypeVersion="76" ma:contentTypeDescription="Create a new document." ma:contentTypeScope="" ma:versionID="95860a444cc402b455814ea114269d20">
  <xsd:schema xmlns:xsd="http://www.w3.org/2001/XMLSchema" xmlns:xs="http://www.w3.org/2001/XMLSchema" xmlns:p="http://schemas.microsoft.com/office/2006/metadata/properties" xmlns:ns2="578d271d-64f6-4d10-86b1-e0add0654a68" xmlns:ns3="http://schemas.microsoft.com/sharepoint/v3/fields" xmlns:ns4="a347f58d-4302-446a-ab42-cc75a7739f24" xmlns:ns5="931c1786-c50f-4dd1-b157-a2f8f44a625f" targetNamespace="http://schemas.microsoft.com/office/2006/metadata/properties" ma:root="true" ma:fieldsID="9f04480431f862caf586432a91067ea5" ns2:_="" ns3:_="" ns4:_="" ns5:_="">
    <xsd:import namespace="578d271d-64f6-4d10-86b1-e0add0654a68"/>
    <xsd:import namespace="http://schemas.microsoft.com/sharepoint/v3/fields"/>
    <xsd:import namespace="a347f58d-4302-446a-ab42-cc75a7739f24"/>
    <xsd:import namespace="931c1786-c50f-4dd1-b157-a2f8f44a625f"/>
    <xsd:element name="properties">
      <xsd:complexType>
        <xsd:sequence>
          <xsd:element name="documentManagement">
            <xsd:complexType>
              <xsd:all>
                <xsd:element ref="ns2:Important_x0020_Updates" minOccurs="0"/>
                <xsd:element ref="ns2:Created_x0020_On_x0020__x0028_M_x0029_" minOccurs="0"/>
                <xsd:element ref="ns3:_Version" minOccurs="0"/>
                <xsd:element ref="ns2:HSEC_x0020_Owner" minOccurs="0"/>
                <xsd:element ref="ns2:Last_x0020_Review_x0020__x0028_M_x0029_" minOccurs="0"/>
                <xsd:element ref="ns2:Links" minOccurs="0"/>
                <xsd:element ref="ns2:PSPDocNo" minOccurs="0"/>
                <xsd:element ref="ns2:Lastreviewedby" minOccurs="0"/>
                <xsd:element ref="ns2:CommentsforRevision" minOccurs="0"/>
                <xsd:element ref="ns2:Effective_x0020_Date" minOccurs="0"/>
                <xsd:element ref="ns2:Document_x0020_Grade" minOccurs="0"/>
                <xsd:element ref="ns2:Owner" minOccurs="0"/>
                <xsd:element ref="ns2:Auditable_Date" minOccurs="0"/>
                <xsd:element ref="ns2:Content_x0020_Type" minOccurs="0"/>
                <xsd:element ref="ns2:Approved_x0020_Date" minOccurs="0"/>
                <xsd:element ref="ns2:HSEC_x0020_Language"/>
                <xsd:element ref="ns2:HSEC_x0020_Discipline" minOccurs="0"/>
                <xsd:element ref="ns2:Element_x0020__x002f__x0020_Performance_x0020_Std_x0020_No_x002e_"/>
                <xsd:element ref="ns2:eDocument_x0020_Category"/>
                <xsd:element ref="ns2:Status_Metadata_Update" minOccurs="0"/>
                <xsd:element ref="ns4:SharedWithUsers" minOccurs="0"/>
                <xsd:element ref="ns2:MediaServiceEventHashCode" minOccurs="0"/>
                <xsd:element ref="ns2:gc7238ac6002439d8ea2ddda769ee916" minOccurs="0"/>
                <xsd:element ref="ns5:TaxCatchAll" minOccurs="0"/>
                <xsd:element ref="ns2:MediaServiceAutoKeyPoints" minOccurs="0"/>
                <xsd:element ref="ns2:pc767d1c03c7462a920dd1480214dee3" minOccurs="0"/>
                <xsd:element ref="ns2:MediaServiceKeyPoints" minOccurs="0"/>
                <xsd:element ref="ns2:hb0e12d1efdb4f92b222828cd96c3fc7" minOccurs="0"/>
                <xsd:element ref="ns2:MediaServiceAutoTags" minOccurs="0"/>
                <xsd:element ref="ns2:i35d54d66fd1429884ea159b06a58b83" minOccurs="0"/>
                <xsd:element ref="ns2:MediaServiceObjectDetectorVersions" minOccurs="0"/>
                <xsd:element ref="ns2:MediaLengthInSeconds" minOccurs="0"/>
                <xsd:element ref="ns4:SharedWithDetails" minOccurs="0"/>
                <xsd:element ref="ns2:i15579b4c2064bc487e4daebc8b35f47" minOccurs="0"/>
                <xsd:element ref="ns2:ndde548dbdb34e1caabcb8a096a8c5b3" minOccurs="0"/>
                <xsd:element ref="ns2:MediaServiceGenerationTime" minOccurs="0"/>
                <xsd:element ref="ns2:lb22e30c999840ef88c23826b4a7fa33" minOccurs="0"/>
                <xsd:element ref="ns2:MediaServiceMetadata" minOccurs="0"/>
                <xsd:element ref="ns2:a5c4baeaf0af4f6ca5920061d44956cd" minOccurs="0"/>
                <xsd:element ref="ns2:MediaServiceFastMetadata" minOccurs="0"/>
                <xsd:element ref="ns2:MediaServiceDateTaken" minOccurs="0"/>
                <xsd:element ref="ns2:Comments" minOccurs="0"/>
                <xsd:element ref="ns2:fbbbadb3914b40958822492b8782daaa" minOccurs="0"/>
                <xsd:element ref="ns2:Supersed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8d271d-64f6-4d10-86b1-e0add0654a68" elementFormDefault="qualified">
    <xsd:import namespace="http://schemas.microsoft.com/office/2006/documentManagement/types"/>
    <xsd:import namespace="http://schemas.microsoft.com/office/infopath/2007/PartnerControls"/>
    <xsd:element name="Important_x0020_Updates" ma:index="2" nillable="true" ma:displayName="Important Updates" ma:internalName="Important_x0020_Updates" ma:readOnly="false">
      <xsd:simpleType>
        <xsd:restriction base="dms:Note">
          <xsd:maxLength value="255"/>
        </xsd:restriction>
      </xsd:simpleType>
    </xsd:element>
    <xsd:element name="Created_x0020_On_x0020__x0028_M_x0029_" ma:index="3" nillable="true" ma:displayName="Created On (M)" ma:format="DateOnly" ma:internalName="Created_x0020_On_x0020__x0028_M_x0029_" ma:readOnly="false">
      <xsd:simpleType>
        <xsd:restriction base="dms:DateTime"/>
      </xsd:simpleType>
    </xsd:element>
    <xsd:element name="HSEC_x0020_Owner" ma:index="5" nillable="true" ma:displayName="HSEC Owner" ma:format="Dropdown" ma:internalName="HSEC_x0020_Owner">
      <xsd:simpleType>
        <xsd:restriction base="dms:Text">
          <xsd:maxLength value="255"/>
        </xsd:restriction>
      </xsd:simpleType>
    </xsd:element>
    <xsd:element name="Last_x0020_Review_x0020__x0028_M_x0029_" ma:index="6" nillable="true" ma:displayName="Last Review (M)" ma:format="DateOnly" ma:internalName="Last_x0020_Review_x0020__x0028_M_x0029_" ma:readOnly="false">
      <xsd:simpleType>
        <xsd:restriction base="dms:DateTime"/>
      </xsd:simpleType>
    </xsd:element>
    <xsd:element name="Links" ma:index="7" nillable="true" ma:displayName="Link" ma:format="Hyperlink" ma:internalName="Links"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PSPDocNo" ma:index="8" nillable="true" ma:displayName="Code" ma:description="Document number requirement from Policy, Standards and Procedures Working Group (PSP WG) " ma:format="Dropdown" ma:internalName="PSPDocNo" ma:readOnly="false">
      <xsd:simpleType>
        <xsd:restriction base="dms:Text">
          <xsd:maxLength value="255"/>
        </xsd:restriction>
      </xsd:simpleType>
    </xsd:element>
    <xsd:element name="Lastreviewedby" ma:index="9" nillable="true" ma:displayName="Last reviewed by" ma:description="Person who reviewed the latest version" ma:format="Dropdown" ma:internalName="Lastreviewedby" ma:readOnly="false">
      <xsd:simpleType>
        <xsd:restriction base="dms:Text">
          <xsd:maxLength value="255"/>
        </xsd:restriction>
      </xsd:simpleType>
    </xsd:element>
    <xsd:element name="CommentsforRevision" ma:index="10" nillable="true" ma:displayName="Comments for Revision" ma:description="Information about the review process and timeline for HSES documents" ma:format="Dropdown" ma:internalName="CommentsforRevision" ma:readOnly="false">
      <xsd:simpleType>
        <xsd:restriction base="dms:Note">
          <xsd:maxLength value="255"/>
        </xsd:restriction>
      </xsd:simpleType>
    </xsd:element>
    <xsd:element name="Effective_x0020_Date" ma:index="11" nillable="true" ma:displayName="Effective" ma:format="DateOnly" ma:internalName="Effective_x0020_Date">
      <xsd:simpleType>
        <xsd:restriction base="dms:DateTime"/>
      </xsd:simpleType>
    </xsd:element>
    <xsd:element name="Document_x0020_Grade" ma:index="14" nillable="true" ma:displayName="Document Grade" ma:default="Controlled" ma:format="Dropdown" ma:internalName="Document_x0020_Grade" ma:readOnly="false">
      <xsd:simpleType>
        <xsd:restriction base="dms:Choice">
          <xsd:enumeration value="Controlled"/>
          <xsd:enumeration value="Managed"/>
          <xsd:enumeration value="Archived"/>
          <xsd:enumeration value="Banner Definition"/>
          <xsd:enumeration value="TechZone document"/>
        </xsd:restriction>
      </xsd:simpleType>
    </xsd:element>
    <xsd:element name="Owner" ma:index="15" nillable="true" ma:displayName="Owner" ma:internalName="Owner" ma:readOnly="false">
      <xsd:simpleType>
        <xsd:restriction base="dms:Text">
          <xsd:maxLength value="255"/>
        </xsd:restriction>
      </xsd:simpleType>
    </xsd:element>
    <xsd:element name="Auditable_Date" ma:index="16" nillable="true" ma:displayName="Auditable_From" ma:format="DateOnly" ma:internalName="Auditable_Date">
      <xsd:simpleType>
        <xsd:restriction base="dms:DateTime"/>
      </xsd:simpleType>
    </xsd:element>
    <xsd:element name="Content_x0020_Type" ma:index="18" nillable="true" ma:displayName="Content Type" ma:format="Dropdown" ma:internalName="Content_x0020_Type">
      <xsd:simpleType>
        <xsd:restriction base="dms:Choice">
          <xsd:enumeration value="Document"/>
          <xsd:enumeration value="Link to a Document"/>
        </xsd:restriction>
      </xsd:simpleType>
    </xsd:element>
    <xsd:element name="Approved_x0020_Date" ma:index="19" nillable="true" ma:displayName="Approved" ma:format="DateOnly" ma:internalName="Approved_x0020_Date">
      <xsd:simpleType>
        <xsd:restriction base="dms:DateTime"/>
      </xsd:simpleType>
    </xsd:element>
    <xsd:element name="HSEC_x0020_Language" ma:index="21" ma:displayName="HSEC Language" ma:format="Dropdown" ma:internalName="HSEC_x0020_Language">
      <xsd:simpleType>
        <xsd:union memberTypes="dms:Text">
          <xsd:simpleType>
            <xsd:restriction base="dms:Choice">
              <xsd:enumeration value="English"/>
              <xsd:enumeration value="Spanish"/>
              <xsd:enumeration value="French"/>
              <xsd:enumeration value="Portuguese"/>
              <xsd:enumeration value="Mongolian"/>
              <xsd:enumeration value="Russian"/>
            </xsd:restriction>
          </xsd:simpleType>
        </xsd:union>
      </xsd:simpleType>
    </xsd:element>
    <xsd:element name="HSEC_x0020_Discipline" ma:index="23" nillable="true" ma:displayName="HSEC Discipline" ma:format="Dropdown" ma:internalName="HSEC_x0020_Discipline" ma:readOnly="false">
      <xsd:simpleType>
        <xsd:restriction base="dms:Choice">
          <xsd:enumeration value="Communities and Social Performance"/>
          <xsd:enumeration value="Energy, Climate Change and GH Gas"/>
          <xsd:enumeration value="Environment"/>
          <xsd:enumeration value="Health"/>
          <xsd:enumeration value="HSESC"/>
          <xsd:enumeration value="HESC"/>
          <xsd:enumeration value="HSEC Assurance"/>
          <xsd:enumeration value="HSEC Reporting"/>
          <xsd:enumeration value="Legacy Management and Closure"/>
          <xsd:enumeration value="Product Stewardship"/>
          <xsd:enumeration value="Process Safety"/>
          <xsd:enumeration value="RT Management System"/>
          <xsd:enumeration value="Safety"/>
          <xsd:enumeration value="Security"/>
          <xsd:enumeration value="Processing Center of Excellence"/>
        </xsd:restriction>
      </xsd:simpleType>
    </xsd:element>
    <xsd:element name="Element_x0020__x002f__x0020_Performance_x0020_Std_x0020_No_x002e_" ma:index="26" ma:displayName="Element / Performance Std No." ma:format="Dropdown" ma:internalName="Element_x0020__x002f__x0020_Performance_x0020_Std_x0020_No_x002e_">
      <xsd:simpleType>
        <xsd:restriction base="dms:Choice">
          <xsd:enumeration value="C01. Isolation"/>
          <xsd:enumeration value="C02. Electrical safety"/>
          <xsd:enumeration value="C03. Vehicles and driving"/>
          <xsd:enumeration value="C04. Working at heights"/>
          <xsd:enumeration value="C05. Confined spaces"/>
          <xsd:enumeration value="C06. Cranes and lifting equipment"/>
          <xsd:enumeration value="C07. Aviation safety"/>
          <xsd:enumeration value="C08. Explosives"/>
          <xsd:enumeration value="D01. Underground"/>
          <xsd:enumeration value="D02. Molten materials"/>
          <xsd:enumeration value="D03. Management of pit slopes, stockpiles, spoil and waste dumps"/>
          <xsd:enumeration value="D04. Marine safety"/>
          <xsd:enumeration value="D05. Management of tailings and water facilities"/>
          <xsd:enumeration value="D06. Process safety"/>
          <xsd:enumeration value="D07. Functional safety"/>
          <xsd:enumeration value="E02. Air quality control"/>
          <xsd:enumeration value="E03. Acid rock drainage prediction and control"/>
          <xsd:enumeration value="E05. Hazardous materials and contamination control"/>
          <xsd:enumeration value="E08. Mineral waste management"/>
          <xsd:enumeration value="E09. Land use stewardship"/>
          <xsd:enumeration value="E10. Water use and quality control"/>
          <xsd:enumeration value="E11. Water quality protection"/>
          <xsd:enumeration value="E12. Air quality protection"/>
          <xsd:enumeration value="E13. Chemically reactive mineral waste control"/>
          <xsd:enumeration value="E14. Land disturbance and rehab control"/>
          <xsd:enumeration value="E15. Hazardous materials and non-mineral waste control"/>
          <xsd:enumeration value="E16. Biodiversity and NRM"/>
          <xsd:enumeration value="H01. Chemicals and hazardous substances exposure control"/>
          <xsd:enumeration value="H02. Noise exposure control"/>
          <xsd:enumeration value="H03. Manual tasks and workplace ergonomics management"/>
          <xsd:enumeration value="H04. Fitness for work in safety critical jobs"/>
          <xsd:enumeration value="H05. Vector-borne and infectious disease control"/>
          <xsd:enumeration value="H06. Radiation exposure control"/>
          <xsd:enumeration value="Element 01. Policy"/>
          <xsd:enumeration value="Element 02. Legal and other requirements"/>
          <xsd:enumeration value="Element 03. Hazard identification and risk management"/>
          <xsd:enumeration value="Element 04. HSEQ management improvement planning"/>
          <xsd:enumeration value="Element 05. Organisational resources, accountabilities and responsibilities"/>
          <xsd:enumeration value="Element 06. Training, competency and awareness"/>
          <xsd:enumeration value="Element 07. Supplier and contractor management"/>
          <xsd:enumeration value="Element 08. Documentation and document control"/>
          <xsd:enumeration value="Element 09. Communication and consultation"/>
          <xsd:enumeration value="Element 10. Operational control"/>
          <xsd:enumeration value="Element 11. Management of change"/>
          <xsd:enumeration value="Element 12. Business resilience and recovery"/>
          <xsd:enumeration value="Element 13. Measuring and monitoring"/>
          <xsd:enumeration value="Element 14. Non conformance incident and action management"/>
          <xsd:enumeration value="Element 15. Data and records management"/>
          <xsd:enumeration value="Element 16. Performance assessment and auditing"/>
          <xsd:enumeration value="Element 17. Management review"/>
          <xsd:enumeration value="General"/>
        </xsd:restriction>
      </xsd:simpleType>
    </xsd:element>
    <xsd:element name="eDocument_x0020_Category" ma:index="28" ma:displayName="eDocument Category" ma:format="Dropdown" ma:internalName="eDocument_x0020_Category" ma:readOnly="false">
      <xsd:simpleType>
        <xsd:restriction base="dms:Choice">
          <xsd:enumeration value="01 - Policy/Strategies"/>
          <xsd:enumeration value="02 - Standard"/>
          <xsd:enumeration value="03 - Variance"/>
          <xsd:enumeration value="04 - Group Procedure"/>
          <xsd:enumeration value="05 - Guidance Note"/>
          <xsd:enumeration value="06 - Fact Sheet"/>
          <xsd:enumeration value="07 - Supporting Document/Tool"/>
          <xsd:enumeration value="08 - Training Material"/>
          <xsd:enumeration value="09 - Audit Protocol"/>
          <xsd:enumeration value="10 - Reports"/>
        </xsd:restriction>
      </xsd:simpleType>
    </xsd:element>
    <xsd:element name="Status_Metadata_Update" ma:index="29" nillable="true" ma:displayName="Status_Metadata_Update" ma:default="Not completed" ma:format="Dropdown" ma:internalName="Status_Metadata_Update">
      <xsd:simpleType>
        <xsd:restriction base="dms:Choice">
          <xsd:enumeration value="Done"/>
          <xsd:enumeration value="Issue"/>
          <xsd:enumeration value="Not completed"/>
          <xsd:enumeration value="No need - doc to be removed"/>
        </xsd:restriction>
      </xsd:simpleType>
    </xsd:element>
    <xsd:element name="MediaServiceEventHashCode" ma:index="31" nillable="true" ma:displayName="MediaServiceEventHashCode" ma:hidden="true" ma:internalName="MediaServiceEventHashCode" ma:readOnly="true">
      <xsd:simpleType>
        <xsd:restriction base="dms:Text"/>
      </xsd:simpleType>
    </xsd:element>
    <xsd:element name="gc7238ac6002439d8ea2ddda769ee916" ma:index="33" nillable="true" ma:taxonomy="true" ma:internalName="gc7238ac6002439d8ea2ddda769ee916" ma:taxonomyFieldName="Doc_x0020_type" ma:displayName="Doc_Type" ma:readOnly="false" ma:default="" ma:fieldId="{0c7238ac-6002-439d-8ea2-ddda769ee916}" ma:sspId="21f86543-ceb4-41e6-9570-90863782e252" ma:termSetId="680ffa03-2cae-42e9-8d4a-ee89c301b1b0" ma:anchorId="00000000-0000-0000-0000-000000000000" ma:open="false" ma:isKeyword="false">
      <xsd:complexType>
        <xsd:sequence>
          <xsd:element ref="pc:Terms" minOccurs="0" maxOccurs="1"/>
        </xsd:sequence>
      </xsd:complexType>
    </xsd:element>
    <xsd:element name="MediaServiceAutoKeyPoints" ma:index="35" nillable="true" ma:displayName="MediaServiceAutoKeyPoints" ma:hidden="true" ma:internalName="MediaServiceAutoKeyPoints" ma:readOnly="true">
      <xsd:simpleType>
        <xsd:restriction base="dms:Note"/>
      </xsd:simpleType>
    </xsd:element>
    <xsd:element name="pc767d1c03c7462a920dd1480214dee3" ma:index="36" nillable="true" ma:taxonomy="true" ma:internalName="pc767d1c03c7462a920dd1480214dee3" ma:taxonomyFieldName="Doc_x0020_Category" ma:displayName="Doc_Category" ma:readOnly="false" ma:default="" ma:fieldId="{9c767d1c-03c7-462a-920d-d1480214dee3}" ma:sspId="21f86543-ceb4-41e6-9570-90863782e252" ma:termSetId="5e5f8ee6-139d-43ce-b19d-3ca80c3b1683" ma:anchorId="00000000-0000-0000-0000-000000000000" ma:open="false" ma:isKeyword="false">
      <xsd:complexType>
        <xsd:sequence>
          <xsd:element ref="pc:Terms" minOccurs="0" maxOccurs="1"/>
        </xsd:sequence>
      </xsd:complexType>
    </xsd:element>
    <xsd:element name="MediaServiceKeyPoints" ma:index="37" nillable="true" ma:displayName="KeyPoints" ma:hidden="true" ma:internalName="MediaServiceKeyPoints" ma:readOnly="true">
      <xsd:simpleType>
        <xsd:restriction base="dms:Note"/>
      </xsd:simpleType>
    </xsd:element>
    <xsd:element name="hb0e12d1efdb4f92b222828cd96c3fc7" ma:index="38" nillable="true" ma:taxonomy="true" ma:internalName="hb0e12d1efdb4f92b222828cd96c3fc7" ma:taxonomyFieldName="Language" ma:displayName="Language" ma:default="" ma:fieldId="{1b0e12d1-efdb-4f92-b222-828cd96c3fc7}" ma:taxonomyMulti="true" ma:sspId="21f86543-ceb4-41e6-9570-90863782e252" ma:termSetId="1be8d1b9-e2db-4e10-b9a6-351909049d03" ma:anchorId="00000000-0000-0000-0000-000000000000" ma:open="false" ma:isKeyword="false">
      <xsd:complexType>
        <xsd:sequence>
          <xsd:element ref="pc:Terms" minOccurs="0" maxOccurs="1"/>
        </xsd:sequence>
      </xsd:complexType>
    </xsd:element>
    <xsd:element name="MediaServiceAutoTags" ma:index="39" nillable="true" ma:displayName="Tags" ma:hidden="true" ma:internalName="MediaServiceAutoTags" ma:readOnly="true">
      <xsd:simpleType>
        <xsd:restriction base="dms:Text"/>
      </xsd:simpleType>
    </xsd:element>
    <xsd:element name="i35d54d66fd1429884ea159b06a58b83" ma:index="40" nillable="true" ma:taxonomy="true" ma:internalName="i35d54d66fd1429884ea159b06a58b83" ma:taxonomyFieldName="Standards" ma:displayName="Standard" ma:default="" ma:fieldId="{235d54d6-6fd1-4298-84ea-159b06a58b83}" ma:sspId="21f86543-ceb4-41e6-9570-90863782e252" ma:termSetId="96840070-2147-449b-9f95-c96df19750f6" ma:anchorId="00000000-0000-0000-0000-000000000000" ma:open="false" ma:isKeyword="false">
      <xsd:complexType>
        <xsd:sequence>
          <xsd:element ref="pc:Terms" minOccurs="0" maxOccurs="1"/>
        </xsd:sequence>
      </xsd:complexType>
    </xsd:element>
    <xsd:element name="MediaServiceObjectDetectorVersions" ma:index="41" nillable="true" ma:displayName="MediaServiceObjectDetectorVersions" ma:hidden="true" ma:indexed="true" ma:internalName="MediaServiceObjectDetectorVersions" ma:readOnly="true">
      <xsd:simpleType>
        <xsd:restriction base="dms:Text"/>
      </xsd:simpleType>
    </xsd:element>
    <xsd:element name="MediaLengthInSeconds" ma:index="42" nillable="true" ma:displayName="MediaLengthInSeconds" ma:hidden="true" ma:internalName="MediaLengthInSeconds" ma:readOnly="true">
      <xsd:simpleType>
        <xsd:restriction base="dms:Unknown"/>
      </xsd:simpleType>
    </xsd:element>
    <xsd:element name="i15579b4c2064bc487e4daebc8b35f47" ma:index="44" nillable="true" ma:taxonomy="true" ma:internalName="i15579b4c2064bc487e4daebc8b35f47" ma:taxonomyFieldName="Discipline" ma:displayName="Discipline" ma:readOnly="false" ma:default="" ma:fieldId="{215579b4-c206-4bc4-87e4-daebc8b35f47}" ma:sspId="21f86543-ceb4-41e6-9570-90863782e252" ma:termSetId="c9e305cd-d20d-4005-ac94-cf6d42237668" ma:anchorId="00000000-0000-0000-0000-000000000000" ma:open="false" ma:isKeyword="false">
      <xsd:complexType>
        <xsd:sequence>
          <xsd:element ref="pc:Terms" minOccurs="0" maxOccurs="1"/>
        </xsd:sequence>
      </xsd:complexType>
    </xsd:element>
    <xsd:element name="ndde548dbdb34e1caabcb8a096a8c5b3" ma:index="46" nillable="true" ma:taxonomy="true" ma:internalName="ndde548dbdb34e1caabcb8a096a8c5b3" ma:taxonomyFieldName="Review_Cycle" ma:displayName="Review_Cycle" ma:readOnly="false" ma:default="" ma:fieldId="{7dde548d-bdb3-4e1c-aabc-b8a096a8c5b3}" ma:sspId="21f86543-ceb4-41e6-9570-90863782e252" ma:termSetId="1315957e-8398-41d8-9333-d3d6a87cb355" ma:anchorId="00000000-0000-0000-0000-000000000000" ma:open="false" ma:isKeyword="false">
      <xsd:complexType>
        <xsd:sequence>
          <xsd:element ref="pc:Terms" minOccurs="0" maxOccurs="1"/>
        </xsd:sequence>
      </xsd:complexType>
    </xsd:element>
    <xsd:element name="MediaServiceGenerationTime" ma:index="48" nillable="true" ma:displayName="MediaServiceGenerationTime" ma:hidden="true" ma:internalName="MediaServiceGenerationTime" ma:readOnly="true">
      <xsd:simpleType>
        <xsd:restriction base="dms:Text"/>
      </xsd:simpleType>
    </xsd:element>
    <xsd:element name="lb22e30c999840ef88c23826b4a7fa33" ma:index="49" nillable="true" ma:taxonomy="true" ma:internalName="lb22e30c999840ef88c23826b4a7fa33" ma:taxonomyFieldName="MS_Element" ma:displayName="MS_Element" ma:readOnly="false" ma:default="" ma:fieldId="{5b22e30c-9998-40ef-88c2-3826b4a7fa33}" ma:sspId="21f86543-ceb4-41e6-9570-90863782e252" ma:termSetId="0e654667-62ce-4e2f-b49b-39d33f3a4389" ma:anchorId="00000000-0000-0000-0000-000000000000" ma:open="false" ma:isKeyword="false">
      <xsd:complexType>
        <xsd:sequence>
          <xsd:element ref="pc:Terms" minOccurs="0" maxOccurs="1"/>
        </xsd:sequence>
      </xsd:complexType>
    </xsd:element>
    <xsd:element name="MediaServiceMetadata" ma:index="51" nillable="true" ma:displayName="MediaServiceMetadata" ma:hidden="true" ma:internalName="MediaServiceMetadata" ma:readOnly="true">
      <xsd:simpleType>
        <xsd:restriction base="dms:Note"/>
      </xsd:simpleType>
    </xsd:element>
    <xsd:element name="a5c4baeaf0af4f6ca5920061d44956cd" ma:index="52" nillable="true" ma:taxonomy="true" ma:internalName="a5c4baeaf0af4f6ca5920061d44956cd" ma:taxonomyFieldName="Content_Type" ma:displayName="Content_Type" ma:readOnly="false" ma:default="" ma:fieldId="{a5c4baea-f0af-4f6c-a592-0061d44956cd}" ma:sspId="21f86543-ceb4-41e6-9570-90863782e252" ma:termSetId="a5d677a5-b007-4649-97b1-4abf5e200cbb" ma:anchorId="00000000-0000-0000-0000-000000000000" ma:open="false" ma:isKeyword="false">
      <xsd:complexType>
        <xsd:sequence>
          <xsd:element ref="pc:Terms" minOccurs="0" maxOccurs="1"/>
        </xsd:sequence>
      </xsd:complexType>
    </xsd:element>
    <xsd:element name="MediaServiceFastMetadata" ma:index="53" nillable="true" ma:displayName="MediaServiceFastMetadata" ma:hidden="true" ma:internalName="MediaServiceFastMetadata" ma:readOnly="true">
      <xsd:simpleType>
        <xsd:restriction base="dms:Note"/>
      </xsd:simpleType>
    </xsd:element>
    <xsd:element name="MediaServiceDateTaken" ma:index="56" nillable="true" ma:displayName="MediaServiceDateTaken" ma:hidden="true" ma:internalName="MediaServiceDateTaken" ma:readOnly="true">
      <xsd:simpleType>
        <xsd:restriction base="dms:Text"/>
      </xsd:simpleType>
    </xsd:element>
    <xsd:element name="Comments" ma:index="57" nillable="true" ma:displayName="Comments " ma:format="Dropdown" ma:internalName="Comments">
      <xsd:simpleType>
        <xsd:restriction base="dms:Note">
          <xsd:maxLength value="255"/>
        </xsd:restriction>
      </xsd:simpleType>
    </xsd:element>
    <xsd:element name="fbbbadb3914b40958822492b8782daaa" ma:index="59" nillable="true" ma:taxonomy="true" ma:internalName="fbbbadb3914b40958822492b8782daaa" ma:taxonomyFieldName="Testing_x0020_level_x0020_Metadata" ma:displayName="Testing level Metadata" ma:default="" ma:fieldId="{fbbbadb3-914b-4095-8822-492b8782daaa}" ma:sspId="21f86543-ceb4-41e6-9570-90863782e252" ma:termSetId="0c91f5f5-3c07-454d-8ae4-57c4638fa696" ma:anchorId="00000000-0000-0000-0000-000000000000" ma:open="false" ma:isKeyword="false">
      <xsd:complexType>
        <xsd:sequence>
          <xsd:element ref="pc:Terms" minOccurs="0" maxOccurs="1"/>
        </xsd:sequence>
      </xsd:complexType>
    </xsd:element>
    <xsd:element name="Supersedes" ma:index="60" nillable="true" ma:displayName="Supersedes" ma:format="Dropdown" ma:internalName="Supersed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a347f58d-4302-446a-ab42-cc75a7739f24" elementFormDefault="qualified">
    <xsd:import namespace="http://schemas.microsoft.com/office/2006/documentManagement/types"/>
    <xsd:import namespace="http://schemas.microsoft.com/office/infopath/2007/PartnerControls"/>
    <xsd:element name="SharedWithUsers" ma:index="30"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3"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1c1786-c50f-4dd1-b157-a2f8f44a625f" elementFormDefault="qualified">
    <xsd:import namespace="http://schemas.microsoft.com/office/2006/documentManagement/types"/>
    <xsd:import namespace="http://schemas.microsoft.com/office/infopath/2007/PartnerControls"/>
    <xsd:element name="TaxCatchAll" ma:index="34" nillable="true" ma:displayName="Taxonomy Catch All Column" ma:hidden="true" ma:list="{8cb5b0b4-627b-4026-a6db-6f10a4a2620f}" ma:internalName="TaxCatchAll" ma:readOnly="false" ma:showField="CatchAllData" ma:web="a347f58d-4302-446a-ab42-cc75a7739f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965DF2-B760-4575-938E-EB40570A6084}">
  <ds:schemaRefs>
    <ds:schemaRef ds:uri="http://schemas.microsoft.com/sharepoint/v3/contenttype/forms"/>
  </ds:schemaRefs>
</ds:datastoreItem>
</file>

<file path=customXml/itemProps2.xml><?xml version="1.0" encoding="utf-8"?>
<ds:datastoreItem xmlns:ds="http://schemas.openxmlformats.org/officeDocument/2006/customXml" ds:itemID="{5097B39C-A008-4F5C-A98D-5FC2309D9556}">
  <ds:schemaRefs>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931c1786-c50f-4dd1-b157-a2f8f44a625f"/>
    <ds:schemaRef ds:uri="578d271d-64f6-4d10-86b1-e0add0654a68"/>
    <ds:schemaRef ds:uri="a347f58d-4302-446a-ab42-cc75a7739f24"/>
    <ds:schemaRef ds:uri="http://www.w3.org/XML/1998/namespace"/>
    <ds:schemaRef ds:uri="http://purl.org/dc/elements/1.1/"/>
    <ds:schemaRef ds:uri="http://schemas.microsoft.com/sharepoint/v3/fields"/>
    <ds:schemaRef ds:uri="http://purl.org/dc/dcmitype/"/>
    <ds:schemaRef ds:uri="http://purl.org/dc/terms/"/>
  </ds:schemaRefs>
</ds:datastoreItem>
</file>

<file path=customXml/itemProps3.xml><?xml version="1.0" encoding="utf-8"?>
<ds:datastoreItem xmlns:ds="http://schemas.openxmlformats.org/officeDocument/2006/customXml" ds:itemID="{D6D6C096-B834-4BB4-B125-64B83C2886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8d271d-64f6-4d10-86b1-e0add0654a68"/>
    <ds:schemaRef ds:uri="http://schemas.microsoft.com/sharepoint/v3/fields"/>
    <ds:schemaRef ds:uri="a347f58d-4302-446a-ab42-cc75a7739f24"/>
    <ds:schemaRef ds:uri="931c1786-c50f-4dd1-b157-a2f8f44a62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Assessment Guidance</vt:lpstr>
      <vt:lpstr>PART A - Governance</vt:lpstr>
      <vt:lpstr>Scoring Worksheet</vt:lpstr>
      <vt:lpstr>Intent Statement</vt:lpstr>
      <vt:lpstr>Assessment Prompts</vt:lpstr>
      <vt:lpstr>Scoring Requirements</vt:lpstr>
      <vt:lpstr>Lists</vt:lpstr>
      <vt:lpstr>consistency</vt:lpstr>
      <vt:lpstr>'PART A - Governance'!Print_Area</vt:lpstr>
      <vt:lpstr>quality</vt:lpstr>
      <vt:lpstr>strength</vt:lpstr>
      <vt:lpstr>sustainable</vt:lpstr>
    </vt:vector>
  </TitlesOfParts>
  <Manager/>
  <Company>Rio Tinto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Safety Maturity Model Tool</dc:title>
  <dc:subject/>
  <dc:creator>Deakin, Anthony (HSEC)</dc:creator>
  <cp:keywords/>
  <dc:description/>
  <cp:lastModifiedBy>Ashleigh Phillips</cp:lastModifiedBy>
  <cp:revision/>
  <dcterms:created xsi:type="dcterms:W3CDTF">2018-04-18T21:52:32Z</dcterms:created>
  <dcterms:modified xsi:type="dcterms:W3CDTF">2026-01-21T06:09:11Z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0x010100602B0D3528ABA949B737F623B973AF28</vt:lpwstr>
  </property>
  <property fmtid="{D5CDD505-2E9C-101B-9397-08002B2CF9AE}" pid="3" name="AuthorIds_UIVersion_512">
    <vt:lpwstr>25</vt:lpwstr>
  </property>
  <property fmtid="{D5CDD505-2E9C-101B-9397-08002B2CF9AE}" pid="4" name="AuthorIds_UIVersion_3584">
    <vt:lpwstr>26</vt:lpwstr>
  </property>
  <property fmtid="{D5CDD505-2E9C-101B-9397-08002B2CF9AE}" pid="5" name="Order">
    <vt:r8>1500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Standard">
    <vt:lpwstr/>
  </property>
  <property fmtid="{D5CDD505-2E9C-101B-9397-08002B2CF9AE}" pid="13" name="Doc_Category">
    <vt:lpwstr/>
  </property>
  <property fmtid="{D5CDD505-2E9C-101B-9397-08002B2CF9AE}" pid="14" name="MS_Element">
    <vt:lpwstr>74;#Element 16. Performance assessment and auditing|4c42f5cd-3d5d-4f39-ba40-4274a44e2348</vt:lpwstr>
  </property>
  <property fmtid="{D5CDD505-2E9C-101B-9397-08002B2CF9AE}" pid="15" name="Doc_Type">
    <vt:lpwstr>49;#Template (TEM)|d9a2a0c2-9c58-4e4b-ac62-1a9fcfef8624</vt:lpwstr>
  </property>
  <property fmtid="{D5CDD505-2E9C-101B-9397-08002B2CF9AE}" pid="16" name="Doc_Status">
    <vt:lpwstr>39;#Published|a524326d-2ddb-460c-8048-16f7137dd661</vt:lpwstr>
  </property>
  <property fmtid="{D5CDD505-2E9C-101B-9397-08002B2CF9AE}" pid="17" name="Discipline">
    <vt:lpwstr>32;#Safety|3ee02cd9-6615-4551-9a2d-7f18eecfbf9e</vt:lpwstr>
  </property>
  <property fmtid="{D5CDD505-2E9C-101B-9397-08002B2CF9AE}" pid="18" name="Language">
    <vt:lpwstr>22;#English|90d1c4c8-3fbb-4b16-a87e-1a1dc58832f4</vt:lpwstr>
  </property>
  <property fmtid="{D5CDD505-2E9C-101B-9397-08002B2CF9AE}" pid="19" name="Content_Type">
    <vt:lpwstr>73;#Document|4fe7bc1c-f731-4c1b-a66f-6e1c3d09ad8e</vt:lpwstr>
  </property>
  <property fmtid="{D5CDD505-2E9C-101B-9397-08002B2CF9AE}" pid="20" name="NeedtobeuploadedtoHSEGroupdocumentSharePoint">
    <vt:lpwstr>Yes</vt:lpwstr>
  </property>
  <property fmtid="{D5CDD505-2E9C-101B-9397-08002B2CF9AE}" pid="21" name="Needtranslation?">
    <vt:lpwstr>No</vt:lpwstr>
  </property>
  <property fmtid="{D5CDD505-2E9C-101B-9397-08002B2CF9AE}" pid="22" name="oa440e8122d0406a86b3b37acdb8e3b4">
    <vt:lpwstr>Published|a524326d-2ddb-460c-8048-16f7137dd661</vt:lpwstr>
  </property>
  <property fmtid="{D5CDD505-2E9C-101B-9397-08002B2CF9AE}" pid="23" name="Reviewedby">
    <vt:lpwstr>246;#Meredith.Carter@riotinto.com</vt:lpwstr>
  </property>
  <property fmtid="{D5CDD505-2E9C-101B-9397-08002B2CF9AE}" pid="24" name="Owner">
    <vt:lpwstr>Safety AoE</vt:lpwstr>
  </property>
  <property fmtid="{D5CDD505-2E9C-101B-9397-08002B2CF9AE}" pid="25" name="NeedtobeuploadedtoDMS?">
    <vt:lpwstr>Done</vt:lpwstr>
  </property>
  <property fmtid="{D5CDD505-2E9C-101B-9397-08002B2CF9AE}" pid="26" name="hbb429872e24403eb832073cb3a2a28e">
    <vt:lpwstr>English|90d1c4c8-3fbb-4b16-a87e-1a1dc58832f4</vt:lpwstr>
  </property>
  <property fmtid="{D5CDD505-2E9C-101B-9397-08002B2CF9AE}" pid="27" name="d021313031be4cf1b9d484cf29265ddc">
    <vt:lpwstr>Template (TEM)|d9a2a0c2-9c58-4e4b-ac62-1a9fcfef8624</vt:lpwstr>
  </property>
  <property fmtid="{D5CDD505-2E9C-101B-9397-08002B2CF9AE}" pid="28" name="le7157146f3643709e26bc303e54d923">
    <vt:lpwstr>Element 16. Performance assessment and auditing|4c42f5cd-3d5d-4f39-ba40-4274a44e2348</vt:lpwstr>
  </property>
  <property fmtid="{D5CDD505-2E9C-101B-9397-08002B2CF9AE}" pid="29" name="b6f4bf0fdcf24cb7be88e1f0913c6d0b">
    <vt:lpwstr>Safety|3ee02cd9-6615-4551-9a2d-7f18eecfbf9e</vt:lpwstr>
  </property>
  <property fmtid="{D5CDD505-2E9C-101B-9397-08002B2CF9AE}" pid="30" name="MediaServiceImageTags">
    <vt:lpwstr/>
  </property>
  <property fmtid="{D5CDD505-2E9C-101B-9397-08002B2CF9AE}" pid="31" name="Doc Category">
    <vt:lpwstr>69;#Managed|859f22fd-f3eb-472a-bc1f-6b48cfd407fb</vt:lpwstr>
  </property>
  <property fmtid="{D5CDD505-2E9C-101B-9397-08002B2CF9AE}" pid="32" name="Approved">
    <vt:filetime>2021-12-31T16:00:00Z</vt:filetime>
  </property>
  <property fmtid="{D5CDD505-2E9C-101B-9397-08002B2CF9AE}" pid="33" name="Standards">
    <vt:lpwstr/>
  </property>
  <property fmtid="{D5CDD505-2E9C-101B-9397-08002B2CF9AE}" pid="34" name="Review_Cycle">
    <vt:lpwstr>75;#1 year|e6849b94-7dd1-4cf9-b808-5237b4297a8b</vt:lpwstr>
  </property>
  <property fmtid="{D5CDD505-2E9C-101B-9397-08002B2CF9AE}" pid="35" name="Doc type">
    <vt:lpwstr>26;#Template (TEM)|d9a2a0c2-9c58-4e4b-ac62-1a9fcfef8624</vt:lpwstr>
  </property>
  <property fmtid="{D5CDD505-2E9C-101B-9397-08002B2CF9AE}" pid="36" name="Testing_x0020_level_x0020_Metadata">
    <vt:lpwstr/>
  </property>
  <property fmtid="{D5CDD505-2E9C-101B-9397-08002B2CF9AE}" pid="37" name="Testing level Metadata">
    <vt:lpwstr/>
  </property>
</Properties>
</file>